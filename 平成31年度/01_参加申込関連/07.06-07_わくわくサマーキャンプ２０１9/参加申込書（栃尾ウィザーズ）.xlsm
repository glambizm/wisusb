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wizusb\平成31年度\01_参加申込関連\07.06-07_わくわくサマーキャンプ２０１9\"/>
    </mc:Choice>
  </mc:AlternateContent>
  <bookViews>
    <workbookView xWindow="0" yWindow="0" windowWidth="28800" windowHeight="12360" tabRatio="528" activeTab="2"/>
  </bookViews>
  <sheets>
    <sheet name="（入力例）" sheetId="14" r:id="rId1"/>
    <sheet name="入力用シート" sheetId="13" r:id="rId2"/>
    <sheet name="メンバー表（入力用シートから反映）" sheetId="6" r:id="rId3"/>
  </sheets>
  <calcPr calcId="162913"/>
</workbook>
</file>

<file path=xl/calcChain.xml><?xml version="1.0" encoding="utf-8"?>
<calcChain xmlns="http://schemas.openxmlformats.org/spreadsheetml/2006/main">
  <c r="D9" i="6" l="1"/>
  <c r="F11" i="6"/>
  <c r="E2" i="6"/>
  <c r="D3" i="6"/>
  <c r="D4" i="6"/>
  <c r="G4" i="6"/>
  <c r="D5" i="6"/>
  <c r="D6" i="6"/>
  <c r="D7" i="6"/>
  <c r="D8" i="6"/>
  <c r="C11" i="6"/>
  <c r="E11" i="6"/>
  <c r="G11" i="6"/>
  <c r="C12" i="6"/>
  <c r="E12" i="6"/>
  <c r="F12" i="6"/>
  <c r="G12" i="6"/>
  <c r="C13" i="6"/>
  <c r="E13" i="6"/>
  <c r="F13" i="6"/>
  <c r="G13" i="6"/>
  <c r="C14" i="6"/>
  <c r="E14" i="6"/>
  <c r="F14" i="6"/>
  <c r="G14" i="6"/>
  <c r="C15" i="6"/>
  <c r="E15" i="6"/>
  <c r="F15" i="6"/>
  <c r="G15" i="6"/>
  <c r="C16" i="6"/>
  <c r="E16" i="6"/>
  <c r="F16" i="6"/>
  <c r="G16" i="6"/>
  <c r="C17" i="6"/>
  <c r="E17" i="6"/>
  <c r="F17" i="6"/>
  <c r="G17" i="6"/>
  <c r="C18" i="6"/>
  <c r="E18" i="6"/>
  <c r="F18" i="6"/>
  <c r="G18" i="6"/>
  <c r="C19" i="6"/>
  <c r="E19" i="6"/>
  <c r="F19" i="6"/>
  <c r="G19" i="6"/>
  <c r="C20" i="6"/>
  <c r="E20" i="6"/>
  <c r="F20" i="6"/>
  <c r="G20" i="6"/>
  <c r="C21" i="6"/>
  <c r="E21" i="6"/>
  <c r="F21" i="6"/>
  <c r="G21" i="6"/>
  <c r="C22" i="6"/>
  <c r="E22" i="6"/>
  <c r="F22" i="6"/>
  <c r="G22" i="6"/>
  <c r="C23" i="6"/>
  <c r="E23" i="6"/>
  <c r="F23" i="6"/>
  <c r="G23" i="6"/>
  <c r="C24" i="6"/>
  <c r="E24" i="6"/>
  <c r="F24" i="6"/>
  <c r="G24" i="6"/>
  <c r="C25" i="6"/>
  <c r="E25" i="6"/>
  <c r="F25" i="6"/>
  <c r="G25" i="6"/>
</calcChain>
</file>

<file path=xl/sharedStrings.xml><?xml version="1.0" encoding="utf-8"?>
<sst xmlns="http://schemas.openxmlformats.org/spreadsheetml/2006/main" count="527" uniqueCount="185">
  <si>
    <t>住所</t>
  </si>
  <si>
    <t>チーム名</t>
  </si>
  <si>
    <t>コーチ</t>
  </si>
  <si>
    <t>チーム紹介</t>
  </si>
  <si>
    <t>Ａ・コーチ</t>
  </si>
  <si>
    <t>マネージャー</t>
  </si>
  <si>
    <t>Ｓ・マネージャー</t>
  </si>
  <si>
    <t>帯同審判</t>
  </si>
  <si>
    <t>番号</t>
  </si>
  <si>
    <t>氏　　　　名</t>
  </si>
  <si>
    <t>学年</t>
  </si>
  <si>
    <t>身長</t>
  </si>
  <si>
    <t>一　言</t>
  </si>
  <si>
    <t>ＮＯ</t>
    <phoneticPr fontId="1"/>
  </si>
  <si>
    <t>郵便番号</t>
  </si>
  <si>
    <t>代表者氏名</t>
  </si>
  <si>
    <t>電話</t>
  </si>
  <si>
    <t>Ａコーチ</t>
  </si>
  <si>
    <t>ﾏﾈｰｼﾞｬｰ１</t>
  </si>
  <si>
    <t>ﾏﾈｰｼﾞｬｰ２</t>
  </si>
  <si>
    <t>選手１</t>
    <phoneticPr fontId="1"/>
  </si>
  <si>
    <t>　NO</t>
  </si>
  <si>
    <t>選手2</t>
  </si>
  <si>
    <t>選手3</t>
    <phoneticPr fontId="1"/>
  </si>
  <si>
    <t>選手4</t>
  </si>
  <si>
    <t>選手5</t>
  </si>
  <si>
    <t>選手6</t>
  </si>
  <si>
    <t>選手7</t>
  </si>
  <si>
    <t>選手8</t>
  </si>
  <si>
    <t>選手9</t>
  </si>
  <si>
    <t>選手10</t>
  </si>
  <si>
    <t>選手11</t>
  </si>
  <si>
    <t>選手12</t>
  </si>
  <si>
    <t>選手13</t>
    <phoneticPr fontId="1"/>
  </si>
  <si>
    <t>選手14</t>
  </si>
  <si>
    <t>選手15</t>
  </si>
  <si>
    <t>選手１６</t>
    <rPh sb="0" eb="2">
      <t>センシュ</t>
    </rPh>
    <phoneticPr fontId="1"/>
  </si>
  <si>
    <t>学年</t>
    <rPh sb="0" eb="2">
      <t>ガクネン</t>
    </rPh>
    <phoneticPr fontId="1"/>
  </si>
  <si>
    <t>選手１７</t>
    <rPh sb="0" eb="2">
      <t>センシュ</t>
    </rPh>
    <phoneticPr fontId="1"/>
  </si>
  <si>
    <t>選手１８</t>
    <rPh sb="0" eb="2">
      <t>センシュ</t>
    </rPh>
    <phoneticPr fontId="1"/>
  </si>
  <si>
    <t>選手１9</t>
    <rPh sb="0" eb="2">
      <t>センシュ</t>
    </rPh>
    <phoneticPr fontId="1"/>
  </si>
  <si>
    <t>選手20</t>
    <rPh sb="0" eb="2">
      <t>センシュ</t>
    </rPh>
    <phoneticPr fontId="1"/>
  </si>
  <si>
    <t>選手２１</t>
    <rPh sb="0" eb="2">
      <t>センシュ</t>
    </rPh>
    <phoneticPr fontId="1"/>
  </si>
  <si>
    <t>選手２２</t>
    <rPh sb="0" eb="2">
      <t>センシュ</t>
    </rPh>
    <phoneticPr fontId="1"/>
  </si>
  <si>
    <t>選手２３</t>
    <rPh sb="0" eb="2">
      <t>センシュ</t>
    </rPh>
    <phoneticPr fontId="1"/>
  </si>
  <si>
    <t>チーム名</t>
    <phoneticPr fontId="1"/>
  </si>
  <si>
    <t>審判１</t>
    <phoneticPr fontId="1"/>
  </si>
  <si>
    <t>審判２</t>
    <phoneticPr fontId="1"/>
  </si>
  <si>
    <t>コーチ</t>
    <phoneticPr fontId="1"/>
  </si>
  <si>
    <t>選手２４</t>
    <rPh sb="0" eb="2">
      <t>センシュ</t>
    </rPh>
    <phoneticPr fontId="1"/>
  </si>
  <si>
    <t>選手２５</t>
    <rPh sb="0" eb="2">
      <t>センシュ</t>
    </rPh>
    <phoneticPr fontId="1"/>
  </si>
  <si>
    <t>選手２６</t>
    <rPh sb="0" eb="2">
      <t>センシュ</t>
    </rPh>
    <phoneticPr fontId="1"/>
  </si>
  <si>
    <t>一言</t>
    <rPh sb="0" eb="2">
      <t>ヒトコト</t>
    </rPh>
    <phoneticPr fontId="1"/>
  </si>
  <si>
    <t>チーム紹介</t>
    <rPh sb="3" eb="5">
      <t>ショウカイ</t>
    </rPh>
    <phoneticPr fontId="1"/>
  </si>
  <si>
    <t>2年</t>
    <rPh sb="1" eb="2">
      <t>ネン</t>
    </rPh>
    <phoneticPr fontId="1"/>
  </si>
  <si>
    <t>3年</t>
    <rPh sb="1" eb="2">
      <t>ネン</t>
    </rPh>
    <phoneticPr fontId="1"/>
  </si>
  <si>
    <t>4年</t>
    <rPh sb="1" eb="2">
      <t>ネン</t>
    </rPh>
    <phoneticPr fontId="1"/>
  </si>
  <si>
    <t>5年</t>
    <rPh sb="1" eb="2">
      <t>ネン</t>
    </rPh>
    <phoneticPr fontId="1"/>
  </si>
  <si>
    <t>6年</t>
    <rPh sb="1" eb="2">
      <t>ネン</t>
    </rPh>
    <phoneticPr fontId="1"/>
  </si>
  <si>
    <t>1年</t>
    <rPh sb="1" eb="2">
      <t>ネン</t>
    </rPh>
    <phoneticPr fontId="1"/>
  </si>
  <si>
    <t>・黄色の枠内に入力して下さい。</t>
    <rPh sb="1" eb="3">
      <t>キイロ</t>
    </rPh>
    <rPh sb="4" eb="6">
      <t>ワクナイ</t>
    </rPh>
    <rPh sb="7" eb="9">
      <t>ニュウリョク</t>
    </rPh>
    <rPh sb="11" eb="12">
      <t>クダ</t>
    </rPh>
    <phoneticPr fontId="1"/>
  </si>
  <si>
    <t>・枠からはみ出しても構いません。</t>
    <rPh sb="1" eb="2">
      <t>ワク</t>
    </rPh>
    <rPh sb="6" eb="7">
      <t>ダ</t>
    </rPh>
    <rPh sb="10" eb="11">
      <t>カマ</t>
    </rPh>
    <phoneticPr fontId="1"/>
  </si>
  <si>
    <t>・一番右側の欄にチーム紹介を書く欄がありますのでご記入下さい。</t>
    <rPh sb="1" eb="3">
      <t>イチバン</t>
    </rPh>
    <rPh sb="3" eb="5">
      <t>ミギガワ</t>
    </rPh>
    <rPh sb="6" eb="7">
      <t>ラン</t>
    </rPh>
    <rPh sb="11" eb="13">
      <t>ショウカイ</t>
    </rPh>
    <rPh sb="14" eb="15">
      <t>カ</t>
    </rPh>
    <rPh sb="16" eb="17">
      <t>ラン</t>
    </rPh>
    <rPh sb="25" eb="27">
      <t>キニュウ</t>
    </rPh>
    <rPh sb="27" eb="28">
      <t>クダ</t>
    </rPh>
    <phoneticPr fontId="1"/>
  </si>
  <si>
    <t>・選手は26名まで入力出来ますが、表示されるのは15名までです。</t>
    <rPh sb="1" eb="3">
      <t>センシュ</t>
    </rPh>
    <rPh sb="6" eb="7">
      <t>メイ</t>
    </rPh>
    <rPh sb="9" eb="11">
      <t>ニュウリョク</t>
    </rPh>
    <rPh sb="11" eb="13">
      <t>デキ</t>
    </rPh>
    <rPh sb="17" eb="19">
      <t>ヒョウジ</t>
    </rPh>
    <rPh sb="26" eb="27">
      <t>メイ</t>
    </rPh>
    <phoneticPr fontId="1"/>
  </si>
  <si>
    <t>120cm</t>
    <phoneticPr fontId="1"/>
  </si>
  <si>
    <t>121cm</t>
    <phoneticPr fontId="1"/>
  </si>
  <si>
    <t>122cm</t>
    <phoneticPr fontId="1"/>
  </si>
  <si>
    <t>123cm</t>
    <phoneticPr fontId="1"/>
  </si>
  <si>
    <t>124cm</t>
    <phoneticPr fontId="1"/>
  </si>
  <si>
    <t>125cm</t>
    <phoneticPr fontId="1"/>
  </si>
  <si>
    <t>126cm</t>
    <phoneticPr fontId="1"/>
  </si>
  <si>
    <t>127cm</t>
    <phoneticPr fontId="1"/>
  </si>
  <si>
    <t>128cm</t>
    <phoneticPr fontId="1"/>
  </si>
  <si>
    <t>129cm</t>
    <phoneticPr fontId="1"/>
  </si>
  <si>
    <t>130cm</t>
    <phoneticPr fontId="1"/>
  </si>
  <si>
    <t>131cm</t>
    <phoneticPr fontId="1"/>
  </si>
  <si>
    <t>132cm</t>
    <phoneticPr fontId="1"/>
  </si>
  <si>
    <t>133cm</t>
    <phoneticPr fontId="1"/>
  </si>
  <si>
    <t>134cm</t>
    <phoneticPr fontId="1"/>
  </si>
  <si>
    <t>135cm</t>
    <phoneticPr fontId="1"/>
  </si>
  <si>
    <t>136cm</t>
    <phoneticPr fontId="1"/>
  </si>
  <si>
    <t>137cm</t>
    <phoneticPr fontId="1"/>
  </si>
  <si>
    <t>138cm</t>
    <phoneticPr fontId="1"/>
  </si>
  <si>
    <t>139cm</t>
    <phoneticPr fontId="1"/>
  </si>
  <si>
    <t>140cm</t>
    <phoneticPr fontId="1"/>
  </si>
  <si>
    <t>141cm</t>
    <phoneticPr fontId="1"/>
  </si>
  <si>
    <t>142cm</t>
    <phoneticPr fontId="1"/>
  </si>
  <si>
    <t>143cm</t>
    <phoneticPr fontId="1"/>
  </si>
  <si>
    <t>144cm</t>
    <phoneticPr fontId="1"/>
  </si>
  <si>
    <t>145cm</t>
    <phoneticPr fontId="1"/>
  </si>
  <si>
    <t>146cm</t>
    <phoneticPr fontId="1"/>
  </si>
  <si>
    <t>147cm</t>
    <phoneticPr fontId="1"/>
  </si>
  <si>
    <t>148cm</t>
    <phoneticPr fontId="1"/>
  </si>
  <si>
    <t>149cm</t>
    <phoneticPr fontId="1"/>
  </si>
  <si>
    <t>150cm</t>
    <phoneticPr fontId="1"/>
  </si>
  <si>
    <t>151cm</t>
    <phoneticPr fontId="1"/>
  </si>
  <si>
    <t>152cm</t>
    <phoneticPr fontId="1"/>
  </si>
  <si>
    <t>153cm</t>
    <phoneticPr fontId="1"/>
  </si>
  <si>
    <t>154cm</t>
    <phoneticPr fontId="1"/>
  </si>
  <si>
    <t>155cm</t>
    <phoneticPr fontId="1"/>
  </si>
  <si>
    <t>156cm</t>
    <phoneticPr fontId="1"/>
  </si>
  <si>
    <t>157cm</t>
    <phoneticPr fontId="1"/>
  </si>
  <si>
    <t>158cm</t>
    <phoneticPr fontId="1"/>
  </si>
  <si>
    <t>159cm</t>
    <phoneticPr fontId="1"/>
  </si>
  <si>
    <t>160cm</t>
    <phoneticPr fontId="1"/>
  </si>
  <si>
    <t>161cm</t>
    <phoneticPr fontId="1"/>
  </si>
  <si>
    <t>162cm</t>
    <phoneticPr fontId="1"/>
  </si>
  <si>
    <t>163cm</t>
    <phoneticPr fontId="1"/>
  </si>
  <si>
    <t>164cm</t>
    <phoneticPr fontId="1"/>
  </si>
  <si>
    <t>165cm</t>
    <phoneticPr fontId="1"/>
  </si>
  <si>
    <t>167cm</t>
    <phoneticPr fontId="1"/>
  </si>
  <si>
    <t>166cm</t>
    <phoneticPr fontId="1"/>
  </si>
  <si>
    <t>168cm</t>
    <phoneticPr fontId="1"/>
  </si>
  <si>
    <t>169cm</t>
    <phoneticPr fontId="1"/>
  </si>
  <si>
    <t>170cm</t>
    <phoneticPr fontId="1"/>
  </si>
  <si>
    <t>171cm</t>
    <phoneticPr fontId="1"/>
  </si>
  <si>
    <t>172cm</t>
    <phoneticPr fontId="1"/>
  </si>
  <si>
    <t>173cm</t>
    <phoneticPr fontId="1"/>
  </si>
  <si>
    <t>174cm</t>
    <phoneticPr fontId="1"/>
  </si>
  <si>
    <t>175cm</t>
    <phoneticPr fontId="1"/>
  </si>
  <si>
    <t>176cm</t>
    <phoneticPr fontId="1"/>
  </si>
  <si>
    <t>177cm</t>
    <phoneticPr fontId="1"/>
  </si>
  <si>
    <t>178cm</t>
    <phoneticPr fontId="1"/>
  </si>
  <si>
    <t>179cm</t>
    <phoneticPr fontId="1"/>
  </si>
  <si>
    <t>180cm</t>
    <phoneticPr fontId="1"/>
  </si>
  <si>
    <t>123-5678</t>
    <phoneticPr fontId="1"/>
  </si>
  <si>
    <t>090-1234-5678</t>
    <phoneticPr fontId="1"/>
  </si>
  <si>
    <t>155cm</t>
  </si>
  <si>
    <t>シュートをいっぱい決めます！</t>
    <rPh sb="9" eb="10">
      <t>キ</t>
    </rPh>
    <phoneticPr fontId="1"/>
  </si>
  <si>
    <t>150cm</t>
  </si>
  <si>
    <t>大会が終わったらアイス食べたい</t>
    <rPh sb="0" eb="2">
      <t>タイカイ</t>
    </rPh>
    <rPh sb="3" eb="4">
      <t>オ</t>
    </rPh>
    <rPh sb="11" eb="12">
      <t>タ</t>
    </rPh>
    <phoneticPr fontId="1"/>
  </si>
  <si>
    <t>・名字と氏名の間を1文字空けて下さい。</t>
    <rPh sb="1" eb="3">
      <t>ミョウジ</t>
    </rPh>
    <rPh sb="4" eb="6">
      <t>シメイ</t>
    </rPh>
    <rPh sb="7" eb="8">
      <t>カン</t>
    </rPh>
    <rPh sb="10" eb="12">
      <t>モジ</t>
    </rPh>
    <rPh sb="12" eb="13">
      <t>ア</t>
    </rPh>
    <rPh sb="15" eb="16">
      <t>クダ</t>
    </rPh>
    <phoneticPr fontId="1"/>
  </si>
  <si>
    <t>小さいチームですが、高さには負けないくらい走り回りたいと思います！</t>
    <rPh sb="0" eb="1">
      <t>チイ</t>
    </rPh>
    <rPh sb="10" eb="11">
      <t>タカ</t>
    </rPh>
    <rPh sb="14" eb="15">
      <t>マ</t>
    </rPh>
    <rPh sb="21" eb="22">
      <t>ハシ</t>
    </rPh>
    <rPh sb="23" eb="24">
      <t>マワ</t>
    </rPh>
    <rPh sb="28" eb="29">
      <t>オモ</t>
    </rPh>
    <phoneticPr fontId="1"/>
  </si>
  <si>
    <t>新潟県長岡市川崎６７－１</t>
    <rPh sb="0" eb="3">
      <t>ニイガタケン</t>
    </rPh>
    <rPh sb="3" eb="6">
      <t>ナガオカシ</t>
    </rPh>
    <rPh sb="6" eb="8">
      <t>カワサキ</t>
    </rPh>
    <phoneticPr fontId="1"/>
  </si>
  <si>
    <t>川崎東ミニバスクラブ</t>
    <rPh sb="0" eb="2">
      <t>カワサキ</t>
    </rPh>
    <rPh sb="2" eb="3">
      <t>ヒガシ</t>
    </rPh>
    <phoneticPr fontId="1"/>
  </si>
  <si>
    <t>金子　誠</t>
    <rPh sb="0" eb="2">
      <t>カネコ</t>
    </rPh>
    <rPh sb="3" eb="4">
      <t>マコト</t>
    </rPh>
    <phoneticPr fontId="1"/>
  </si>
  <si>
    <t>伊藤　正春</t>
    <rPh sb="0" eb="2">
      <t>イトウ</t>
    </rPh>
    <rPh sb="3" eb="5">
      <t>マサハル</t>
    </rPh>
    <phoneticPr fontId="1"/>
  </si>
  <si>
    <t>大森　正平</t>
    <rPh sb="0" eb="2">
      <t>オオモリ</t>
    </rPh>
    <rPh sb="3" eb="5">
      <t>ショウヘイ</t>
    </rPh>
    <phoneticPr fontId="1"/>
  </si>
  <si>
    <t>本村　透</t>
    <rPh sb="0" eb="2">
      <t>ホンムラ</t>
    </rPh>
    <rPh sb="3" eb="4">
      <t>トオル</t>
    </rPh>
    <phoneticPr fontId="1"/>
  </si>
  <si>
    <t>阿部　一博</t>
    <rPh sb="0" eb="2">
      <t>アベ</t>
    </rPh>
    <rPh sb="3" eb="5">
      <t>カズヒロ</t>
    </rPh>
    <phoneticPr fontId="1"/>
  </si>
  <si>
    <t>渋木　智</t>
    <rPh sb="0" eb="2">
      <t>シブキ</t>
    </rPh>
    <rPh sb="3" eb="4">
      <t>サトル</t>
    </rPh>
    <phoneticPr fontId="1"/>
  </si>
  <si>
    <t>星　光吉</t>
    <rPh sb="0" eb="1">
      <t>ホシ</t>
    </rPh>
    <rPh sb="2" eb="4">
      <t>ミツヨシ</t>
    </rPh>
    <phoneticPr fontId="1"/>
  </si>
  <si>
    <t>佐藤　明広</t>
    <rPh sb="0" eb="2">
      <t>サトウ</t>
    </rPh>
    <rPh sb="3" eb="5">
      <t>アキヒロ</t>
    </rPh>
    <phoneticPr fontId="1"/>
  </si>
  <si>
    <t>・選手の一言欄がありますので何でもご自由にご記入下さい。</t>
    <rPh sb="1" eb="3">
      <t>センシュ</t>
    </rPh>
    <rPh sb="4" eb="6">
      <t>ヒトコト</t>
    </rPh>
    <rPh sb="6" eb="7">
      <t>ラン</t>
    </rPh>
    <rPh sb="14" eb="15">
      <t>ナン</t>
    </rPh>
    <rPh sb="18" eb="20">
      <t>ジユウ</t>
    </rPh>
    <rPh sb="22" eb="25">
      <t>キニュウクダ</t>
    </rPh>
    <phoneticPr fontId="1"/>
  </si>
  <si>
    <t>交流戦希望</t>
    <rPh sb="0" eb="3">
      <t>コウリュウセン</t>
    </rPh>
    <rPh sb="3" eb="5">
      <t>キボウ</t>
    </rPh>
    <phoneticPr fontId="1"/>
  </si>
  <si>
    <t>○</t>
    <phoneticPr fontId="1"/>
  </si>
  <si>
    <t>（出来る限り入力した選手は全員大会プログラムに表示するようにします）</t>
    <rPh sb="1" eb="3">
      <t>デキ</t>
    </rPh>
    <rPh sb="4" eb="5">
      <t>カギ</t>
    </rPh>
    <rPh sb="6" eb="8">
      <t>ニュウリョク</t>
    </rPh>
    <rPh sb="10" eb="12">
      <t>センシュ</t>
    </rPh>
    <rPh sb="13" eb="15">
      <t>ゼンイン</t>
    </rPh>
    <rPh sb="15" eb="17">
      <t>タイカイ</t>
    </rPh>
    <rPh sb="23" eb="25">
      <t>ヒョウジ</t>
    </rPh>
    <phoneticPr fontId="1"/>
  </si>
  <si>
    <t>・選手の一言欄がありますので何でもご自由にご記入下さい。【必ず記入】</t>
    <rPh sb="1" eb="3">
      <t>センシュ</t>
    </rPh>
    <rPh sb="4" eb="6">
      <t>ヒトコト</t>
    </rPh>
    <rPh sb="6" eb="7">
      <t>ラン</t>
    </rPh>
    <rPh sb="14" eb="15">
      <t>ナン</t>
    </rPh>
    <rPh sb="18" eb="20">
      <t>ジユウ</t>
    </rPh>
    <rPh sb="22" eb="25">
      <t>キニュウクダ</t>
    </rPh>
    <rPh sb="29" eb="30">
      <t>カナラ</t>
    </rPh>
    <rPh sb="31" eb="33">
      <t>キニュウ</t>
    </rPh>
    <phoneticPr fontId="1"/>
  </si>
  <si>
    <t>・選手は26名まで入力出来ますが、表示されるのは15名までです。（事務局で追加します）</t>
    <rPh sb="1" eb="3">
      <t>センシュ</t>
    </rPh>
    <rPh sb="6" eb="7">
      <t>メイ</t>
    </rPh>
    <rPh sb="9" eb="11">
      <t>ニュウリョク</t>
    </rPh>
    <rPh sb="11" eb="13">
      <t>デキ</t>
    </rPh>
    <rPh sb="17" eb="19">
      <t>ヒョウジ</t>
    </rPh>
    <rPh sb="26" eb="27">
      <t>メイ</t>
    </rPh>
    <rPh sb="33" eb="36">
      <t>ジムキョク</t>
    </rPh>
    <rPh sb="37" eb="39">
      <t>ツイカ</t>
    </rPh>
    <phoneticPr fontId="1"/>
  </si>
  <si>
    <t>（15名を超えて入力していただいた選手は事務局の方で大会プログラムに記載されるようにします）</t>
    <rPh sb="3" eb="4">
      <t>メイ</t>
    </rPh>
    <rPh sb="5" eb="6">
      <t>コ</t>
    </rPh>
    <rPh sb="8" eb="10">
      <t>ニュウリョク</t>
    </rPh>
    <rPh sb="17" eb="19">
      <t>センシュ</t>
    </rPh>
    <rPh sb="20" eb="22">
      <t>ジム</t>
    </rPh>
    <rPh sb="22" eb="23">
      <t>キョク</t>
    </rPh>
    <rPh sb="24" eb="25">
      <t>ホウ</t>
    </rPh>
    <rPh sb="26" eb="28">
      <t>タイカイ</t>
    </rPh>
    <rPh sb="34" eb="36">
      <t>キサイ</t>
    </rPh>
    <phoneticPr fontId="1"/>
  </si>
  <si>
    <t>栃尾ウィザーズ</t>
    <rPh sb="0" eb="2">
      <t>トチオ</t>
    </rPh>
    <phoneticPr fontId="1"/>
  </si>
  <si>
    <t>長岡市北荷頃5059-2</t>
    <phoneticPr fontId="1"/>
  </si>
  <si>
    <t>940-0241</t>
    <phoneticPr fontId="1"/>
  </si>
  <si>
    <t>諸橋　裕哉</t>
    <phoneticPr fontId="1"/>
  </si>
  <si>
    <t>090-2313-5084</t>
    <phoneticPr fontId="1"/>
  </si>
  <si>
    <t>川上　剛</t>
    <phoneticPr fontId="1"/>
  </si>
  <si>
    <t>○</t>
    <phoneticPr fontId="1"/>
  </si>
  <si>
    <t>諸橋　裕哉</t>
    <phoneticPr fontId="1"/>
  </si>
  <si>
    <t>川上　剛</t>
    <phoneticPr fontId="1"/>
  </si>
  <si>
    <t>波形　茜</t>
    <phoneticPr fontId="1"/>
  </si>
  <si>
    <t>波形　胡汰</t>
    <phoneticPr fontId="1"/>
  </si>
  <si>
    <t>山田　朔太郎</t>
    <phoneticPr fontId="1"/>
  </si>
  <si>
    <t>137cm</t>
  </si>
  <si>
    <t>145cm</t>
  </si>
  <si>
    <t>中村　利壱</t>
    <phoneticPr fontId="1"/>
  </si>
  <si>
    <t>153cm</t>
  </si>
  <si>
    <t>萩原　慧太</t>
    <phoneticPr fontId="1"/>
  </si>
  <si>
    <t>140cm</t>
  </si>
  <si>
    <t>諸橋　直紀</t>
    <phoneticPr fontId="1"/>
  </si>
  <si>
    <t>141cm</t>
  </si>
  <si>
    <t>佐藤　啓人</t>
    <phoneticPr fontId="1"/>
  </si>
  <si>
    <t>佐藤　悠斗</t>
    <phoneticPr fontId="1"/>
  </si>
  <si>
    <t>143cm</t>
  </si>
  <si>
    <t>佐藤　大翔</t>
    <phoneticPr fontId="1"/>
  </si>
  <si>
    <t>多田　康惺</t>
    <phoneticPr fontId="1"/>
  </si>
  <si>
    <t>大﨑 滉太</t>
    <phoneticPr fontId="1"/>
  </si>
  <si>
    <t>大橋 琉生</t>
    <phoneticPr fontId="1"/>
  </si>
  <si>
    <t>韮澤 嘉唯</t>
    <phoneticPr fontId="1"/>
  </si>
  <si>
    <t>139cm</t>
  </si>
  <si>
    <t>多田　隼兜</t>
    <phoneticPr fontId="1"/>
  </si>
  <si>
    <t>135cm</t>
  </si>
  <si>
    <t>大港 一徹</t>
    <phoneticPr fontId="1"/>
  </si>
  <si>
    <t>佐藤　壮汰朗</t>
    <phoneticPr fontId="1"/>
  </si>
  <si>
    <t>144cm</t>
  </si>
  <si>
    <t>「ディフェンスを頑張り、走れるチーム！」を目指し、日頃の練習の成果がひとつでも多く出せるよう、大きな声を出して頑張ります！！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</si>
</sst>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
    <numFmt numFmtId="177" formatCode=";00;"/>
    <numFmt numFmtId="178" formatCode="0;0"/>
  </numFmts>
  <fonts count="9" x14ac:knownFonts="1">
    <font>
      <sz val="11"/>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b/>
      <sz val="12"/>
      <name val="ＭＳ Ｐゴシック"/>
      <family val="3"/>
      <charset val="128"/>
    </font>
    <font>
      <sz val="16"/>
      <name val="ＭＳ Ｐゴシック"/>
      <family val="3"/>
      <charset val="128"/>
    </font>
    <font>
      <sz val="9"/>
      <name val="ＭＳ Ｐゴシック"/>
      <family val="3"/>
      <charset val="128"/>
    </font>
    <font>
      <sz val="14"/>
      <name val="HGS創英角ﾎﾟｯﾌﾟ体"/>
      <family val="3"/>
      <charset val="128"/>
    </font>
    <font>
      <b/>
      <sz val="11"/>
      <color theme="1"/>
      <name val="ＭＳ Ｐゴシック"/>
      <family val="3"/>
      <charset val="128"/>
    </font>
  </fonts>
  <fills count="3">
    <fill>
      <patternFill patternType="none"/>
    </fill>
    <fill>
      <patternFill patternType="gray125"/>
    </fill>
    <fill>
      <patternFill patternType="solid">
        <fgColor rgb="FFFFFF00"/>
        <bgColor indexed="64"/>
      </patternFill>
    </fill>
  </fills>
  <borders count="16">
    <border>
      <left/>
      <right/>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1">
    <xf numFmtId="0" fontId="0" fillId="0" borderId="0"/>
  </cellStyleXfs>
  <cellXfs count="58">
    <xf numFmtId="0" fontId="0" fillId="0" borderId="0" xfId="0"/>
    <xf numFmtId="0" fontId="2" fillId="0" borderId="0" xfId="0" applyFont="1" applyFill="1" applyBorder="1" applyAlignment="1">
      <alignment horizontal="right" vertical="center"/>
    </xf>
    <xf numFmtId="0" fontId="0" fillId="0" borderId="0" xfId="0" applyFill="1" applyBorder="1" applyAlignment="1">
      <alignment horizontal="center"/>
    </xf>
    <xf numFmtId="0" fontId="0" fillId="0" borderId="0" xfId="0" applyFill="1" applyBorder="1" applyAlignment="1"/>
    <xf numFmtId="0" fontId="0" fillId="0" borderId="0" xfId="0" applyFill="1" applyBorder="1"/>
    <xf numFmtId="0" fontId="0" fillId="0" borderId="0" xfId="0" applyFill="1"/>
    <xf numFmtId="0" fontId="0" fillId="0" borderId="0" xfId="0" applyFill="1" applyBorder="1" applyAlignment="1">
      <alignment vertical="center"/>
    </xf>
    <xf numFmtId="0" fontId="0" fillId="0" borderId="0" xfId="0" applyFill="1" applyBorder="1" applyAlignment="1">
      <alignment horizontal="right"/>
    </xf>
    <xf numFmtId="20" fontId="0" fillId="0" borderId="0" xfId="0" applyNumberFormat="1" applyFill="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vertical="top" textRotation="140"/>
    </xf>
    <xf numFmtId="0" fontId="0" fillId="0" borderId="0" xfId="0" applyFill="1" applyBorder="1" applyAlignment="1">
      <alignment horizontal="left"/>
    </xf>
    <xf numFmtId="20" fontId="0" fillId="0" borderId="0" xfId="0" applyNumberFormat="1" applyFill="1" applyBorder="1" applyAlignment="1">
      <alignment horizontal="center" vertical="center"/>
    </xf>
    <xf numFmtId="0" fontId="5" fillId="0" borderId="0" xfId="0" applyFont="1" applyFill="1" applyBorder="1"/>
    <xf numFmtId="0" fontId="6" fillId="0" borderId="0" xfId="0" applyFont="1" applyFill="1" applyBorder="1" applyAlignment="1">
      <alignment vertical="center" wrapText="1"/>
    </xf>
    <xf numFmtId="0" fontId="0" fillId="0" borderId="0" xfId="0" applyFill="1" applyBorder="1" applyAlignment="1">
      <alignment vertical="top" textRotation="140"/>
    </xf>
    <xf numFmtId="0" fontId="0" fillId="0" borderId="0" xfId="0" applyFill="1" applyBorder="1" applyAlignment="1">
      <alignment textRotation="50"/>
    </xf>
    <xf numFmtId="0" fontId="4" fillId="0" borderId="0" xfId="0" applyFont="1" applyFill="1" applyBorder="1" applyAlignment="1">
      <alignment horizontal="right" wrapText="1"/>
    </xf>
    <xf numFmtId="0" fontId="4" fillId="0" borderId="0" xfId="0" applyFont="1" applyFill="1" applyBorder="1" applyAlignment="1">
      <alignment horizontal="left" wrapText="1"/>
    </xf>
    <xf numFmtId="0" fontId="4" fillId="0" borderId="0" xfId="0" applyFont="1" applyFill="1" applyBorder="1" applyAlignment="1">
      <alignment horizontal="right" vertical="top" wrapText="1"/>
    </xf>
    <xf numFmtId="0" fontId="4" fillId="0" borderId="0" xfId="0" applyFont="1" applyFill="1" applyBorder="1" applyAlignment="1">
      <alignment horizontal="left" vertical="top" wrapText="1"/>
    </xf>
    <xf numFmtId="0" fontId="0" fillId="0" borderId="0" xfId="0" applyFill="1" applyBorder="1" applyAlignment="1">
      <alignment vertical="top"/>
    </xf>
    <xf numFmtId="0" fontId="7" fillId="0" borderId="0" xfId="0" applyFont="1" applyFill="1" applyAlignment="1">
      <alignment horizontal="right" vertical="center"/>
    </xf>
    <xf numFmtId="0" fontId="7" fillId="0" borderId="0" xfId="0" applyFont="1" applyFill="1" applyAlignment="1">
      <alignment horizontal="left"/>
    </xf>
    <xf numFmtId="0" fontId="0" fillId="0" borderId="0" xfId="0" applyAlignment="1">
      <alignment vertical="center"/>
    </xf>
    <xf numFmtId="0" fontId="0" fillId="0" borderId="1" xfId="0" applyBorder="1" applyAlignment="1">
      <alignment horizontal="center" vertical="center" shrinkToFit="1"/>
    </xf>
    <xf numFmtId="0" fontId="0" fillId="0" borderId="2" xfId="0" applyBorder="1" applyAlignment="1">
      <alignment horizontal="center" vertical="center" shrinkToFit="1"/>
    </xf>
    <xf numFmtId="0" fontId="0" fillId="0" borderId="3" xfId="0" applyFill="1" applyBorder="1"/>
    <xf numFmtId="178" fontId="0" fillId="0" borderId="2" xfId="0" applyNumberFormat="1" applyBorder="1" applyAlignment="1">
      <alignment horizontal="center" vertical="center" shrinkToFit="1"/>
    </xf>
    <xf numFmtId="177" fontId="0" fillId="0" borderId="1" xfId="0" applyNumberFormat="1" applyBorder="1" applyAlignment="1">
      <alignment horizontal="center" vertical="center" shrinkToFit="1"/>
    </xf>
    <xf numFmtId="0" fontId="0" fillId="2" borderId="3" xfId="0" applyFill="1" applyBorder="1"/>
    <xf numFmtId="177" fontId="0" fillId="0" borderId="1" xfId="0" applyNumberFormat="1" applyFont="1" applyBorder="1" applyAlignment="1">
      <alignment horizontal="center" vertical="center" shrinkToFit="1"/>
    </xf>
    <xf numFmtId="0" fontId="0" fillId="2" borderId="4" xfId="0" applyFill="1" applyBorder="1"/>
    <xf numFmtId="0" fontId="0" fillId="2" borderId="5" xfId="0" applyFill="1" applyBorder="1"/>
    <xf numFmtId="0" fontId="8" fillId="0" borderId="6" xfId="0" applyFont="1" applyBorder="1" applyAlignment="1">
      <alignment horizontal="center" vertical="center"/>
    </xf>
    <xf numFmtId="177" fontId="0" fillId="0" borderId="6" xfId="0" applyNumberFormat="1" applyBorder="1" applyAlignment="1">
      <alignment horizontal="center" vertical="center" shrinkToFit="1"/>
    </xf>
    <xf numFmtId="177" fontId="0" fillId="0" borderId="7" xfId="0" applyNumberFormat="1" applyBorder="1" applyAlignment="1">
      <alignment horizontal="center" vertical="center" shrinkToFit="1"/>
    </xf>
    <xf numFmtId="177" fontId="0" fillId="0" borderId="8" xfId="0" applyNumberFormat="1" applyBorder="1" applyAlignment="1">
      <alignment horizontal="center" vertical="center" shrinkToFit="1"/>
    </xf>
    <xf numFmtId="177" fontId="0" fillId="0" borderId="6" xfId="0" applyNumberFormat="1" applyBorder="1" applyAlignment="1">
      <alignment horizontal="left" vertical="center" indent="1" shrinkToFit="1"/>
    </xf>
    <xf numFmtId="177" fontId="0" fillId="0" borderId="8" xfId="0" applyNumberFormat="1" applyBorder="1" applyAlignment="1">
      <alignment horizontal="left" vertical="center" indent="1" shrinkToFit="1"/>
    </xf>
    <xf numFmtId="0" fontId="0" fillId="0" borderId="6" xfId="0" applyBorder="1" applyAlignment="1">
      <alignment horizontal="center" vertical="center" shrinkToFit="1"/>
    </xf>
    <xf numFmtId="0" fontId="0" fillId="0" borderId="7" xfId="0" applyBorder="1" applyAlignment="1">
      <alignment horizontal="center" vertical="center" shrinkToFit="1"/>
    </xf>
    <xf numFmtId="0" fontId="0" fillId="0" borderId="8" xfId="0" applyBorder="1" applyAlignment="1">
      <alignment horizontal="center" vertical="center" shrinkToFit="1"/>
    </xf>
    <xf numFmtId="176" fontId="0" fillId="0" borderId="9" xfId="0" applyNumberFormat="1" applyBorder="1" applyAlignment="1">
      <alignment horizontal="center" vertical="center" shrinkToFit="1"/>
    </xf>
    <xf numFmtId="176" fontId="0" fillId="0" borderId="10" xfId="0" applyNumberFormat="1" applyBorder="1" applyAlignment="1">
      <alignment horizontal="center" vertical="center" shrinkToFit="1"/>
    </xf>
    <xf numFmtId="0" fontId="0" fillId="0" borderId="7" xfId="0" applyBorder="1"/>
    <xf numFmtId="0" fontId="0" fillId="0" borderId="8" xfId="0" applyBorder="1"/>
    <xf numFmtId="177" fontId="0" fillId="0" borderId="11" xfId="0" applyNumberFormat="1" applyBorder="1" applyAlignment="1">
      <alignment horizontal="center" vertical="center" wrapText="1"/>
    </xf>
    <xf numFmtId="177" fontId="0" fillId="0" borderId="12" xfId="0" applyNumberFormat="1" applyBorder="1" applyAlignment="1">
      <alignment horizontal="center" vertical="center" wrapText="1"/>
    </xf>
    <xf numFmtId="177" fontId="0" fillId="0" borderId="13" xfId="0" applyNumberFormat="1" applyBorder="1" applyAlignment="1">
      <alignment horizontal="center" vertical="center" wrapText="1"/>
    </xf>
    <xf numFmtId="177" fontId="0" fillId="0" borderId="14" xfId="0" applyNumberFormat="1" applyBorder="1" applyAlignment="1">
      <alignment horizontal="center" vertical="center" wrapText="1"/>
    </xf>
    <xf numFmtId="177" fontId="0" fillId="0" borderId="0" xfId="0" applyNumberFormat="1" applyBorder="1" applyAlignment="1">
      <alignment horizontal="center" vertical="center" wrapText="1"/>
    </xf>
    <xf numFmtId="177" fontId="0" fillId="0" borderId="15" xfId="0" applyNumberFormat="1" applyBorder="1" applyAlignment="1">
      <alignment horizontal="center" vertical="center" wrapText="1"/>
    </xf>
    <xf numFmtId="177" fontId="0" fillId="0" borderId="9" xfId="0" applyNumberFormat="1" applyBorder="1" applyAlignment="1">
      <alignment horizontal="center" vertical="center" wrapText="1"/>
    </xf>
    <xf numFmtId="177" fontId="0" fillId="0" borderId="10" xfId="0" applyNumberFormat="1" applyBorder="1" applyAlignment="1">
      <alignment horizontal="center" vertical="center" wrapText="1"/>
    </xf>
    <xf numFmtId="177" fontId="0" fillId="0" borderId="1" xfId="0" applyNumberFormat="1" applyBorder="1" applyAlignment="1">
      <alignment horizontal="center" vertical="center" wrapText="1"/>
    </xf>
    <xf numFmtId="177" fontId="3" fillId="0" borderId="7" xfId="0" applyNumberFormat="1" applyFont="1" applyBorder="1" applyAlignment="1">
      <alignment horizontal="center" vertical="center"/>
    </xf>
    <xf numFmtId="177" fontId="3" fillId="0" borderId="8" xfId="0" applyNumberFormat="1" applyFont="1" applyBorder="1" applyAlignment="1">
      <alignment horizontal="center" vertical="center"/>
    </xf>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1400175</xdr:colOff>
      <xdr:row>12</xdr:row>
      <xdr:rowOff>38099</xdr:rowOff>
    </xdr:from>
    <xdr:to>
      <xdr:col>8</xdr:col>
      <xdr:colOff>180975</xdr:colOff>
      <xdr:row>22</xdr:row>
      <xdr:rowOff>161924</xdr:rowOff>
    </xdr:to>
    <xdr:sp macro="" textlink="">
      <xdr:nvSpPr>
        <xdr:cNvPr id="2" name="正方形/長方形 1"/>
        <xdr:cNvSpPr/>
      </xdr:nvSpPr>
      <xdr:spPr bwMode="auto">
        <a:xfrm>
          <a:off x="3590925" y="2095499"/>
          <a:ext cx="4343400" cy="1838325"/>
        </a:xfrm>
        <a:prstGeom prst="rect">
          <a:avLst/>
        </a:prstGeom>
        <a:solidFill>
          <a:sysClr val="window" lastClr="FFFFFF"/>
        </a:solidFill>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kumimoji="1" lang="ja-JP" altLang="en-US" sz="2400">
              <a:effectLst/>
            </a:rPr>
            <a:t>本シートは記入例です。</a:t>
          </a:r>
          <a:endParaRPr kumimoji="1" lang="en-US" altLang="ja-JP" sz="2400">
            <a:effectLst/>
          </a:endParaRPr>
        </a:p>
        <a:p>
          <a:pPr algn="ctr"/>
          <a:r>
            <a:rPr kumimoji="1" lang="ja-JP" altLang="en-US" sz="2400">
              <a:effectLst/>
            </a:rPr>
            <a:t>入力は</a:t>
          </a:r>
          <a:r>
            <a:rPr kumimoji="1" lang="en-US" altLang="ja-JP" sz="2400">
              <a:effectLst/>
            </a:rPr>
            <a:t>【</a:t>
          </a:r>
          <a:r>
            <a:rPr kumimoji="1" lang="ja-JP" altLang="en-US" sz="2400">
              <a:effectLst/>
            </a:rPr>
            <a:t>入力用シート</a:t>
          </a:r>
          <a:r>
            <a:rPr kumimoji="1" lang="en-US" altLang="ja-JP" sz="2400">
              <a:effectLst/>
            </a:rPr>
            <a:t>】</a:t>
          </a:r>
          <a:r>
            <a:rPr kumimoji="1" lang="ja-JP" altLang="en-US" sz="2400">
              <a:effectLst/>
            </a:rPr>
            <a:t>へ</a:t>
          </a:r>
          <a:endParaRPr kumimoji="1" lang="en-US" altLang="ja-JP" sz="2400">
            <a:effectLst/>
          </a:endParaRPr>
        </a:p>
        <a:p>
          <a:pPr algn="ctr"/>
          <a:r>
            <a:rPr kumimoji="1" lang="ja-JP" altLang="en-US" sz="2400">
              <a:effectLst/>
            </a:rPr>
            <a:t>記入して下さい。</a:t>
          </a:r>
          <a:endParaRPr kumimoji="1" lang="en-US" altLang="ja-JP" sz="2400">
            <a:effectLst/>
          </a:endParaRPr>
        </a:p>
        <a:p>
          <a:pPr algn="ctr"/>
          <a:r>
            <a:rPr kumimoji="1" lang="ja-JP" altLang="en-US" sz="2400">
              <a:effectLst/>
            </a:rPr>
            <a:t>（メンバー表に反映されます）</a:t>
          </a:r>
        </a:p>
      </xdr:txBody>
    </xdr:sp>
    <xdr:clientData/>
  </xdr:twoCellAnchor>
  <xdr:twoCellAnchor>
    <xdr:from>
      <xdr:col>1</xdr:col>
      <xdr:colOff>904875</xdr:colOff>
      <xdr:row>16</xdr:row>
      <xdr:rowOff>161925</xdr:rowOff>
    </xdr:from>
    <xdr:to>
      <xdr:col>2</xdr:col>
      <xdr:colOff>628650</xdr:colOff>
      <xdr:row>25</xdr:row>
      <xdr:rowOff>0</xdr:rowOff>
    </xdr:to>
    <xdr:sp macro="" textlink="">
      <xdr:nvSpPr>
        <xdr:cNvPr id="3" name="下矢印吹き出し 2"/>
        <xdr:cNvSpPr/>
      </xdr:nvSpPr>
      <xdr:spPr bwMode="auto">
        <a:xfrm>
          <a:off x="1247775" y="2905125"/>
          <a:ext cx="1571625" cy="1381125"/>
        </a:xfrm>
        <a:prstGeom prst="downArrowCallout">
          <a:avLst/>
        </a:prstGeom>
        <a:pattFill prst="pct50">
          <a:fgClr>
            <a:srgbClr val="FFFFFF"/>
          </a:fgClr>
          <a:bgClr>
            <a:srgbClr val="FF7A01"/>
          </a:bgClr>
        </a:pattFill>
        <a:ln w="9525" cap="flat" cmpd="sng" algn="ctr">
          <a:solidFill>
            <a:schemeClr val="accent6">
              <a:lumMod val="50000"/>
            </a:schemeClr>
          </a:solidFill>
          <a:prstDash val="solid"/>
          <a:round/>
          <a:headEnd type="none" w="med" len="med"/>
          <a:tailEnd type="none" w="med" len="med"/>
        </a:ln>
        <a:effectLst/>
        <a:scene3d>
          <a:camera prst="orthographicFront"/>
          <a:lightRig rig="legacyHarsh3" dir="l"/>
        </a:scene3d>
        <a:sp3d extrusionH="430200" prstMaterial="legacyMatte">
          <a:bevelT w="13500" h="13500" prst="angle"/>
          <a:bevelB w="13500" h="13500" prst="angle"/>
          <a:extrusionClr>
            <a:srgbClr val="C0C0C0"/>
          </a:extrusionClr>
        </a:sp3d>
      </xdr:spPr>
      <xdr:txBody>
        <a:bodyPr vertOverflow="clip" wrap="square" lIns="18288" tIns="0" rIns="0" bIns="0" rtlCol="0" anchor="ctr" upright="1"/>
        <a:lstStyle/>
        <a:p>
          <a:pPr algn="ctr"/>
          <a:r>
            <a:rPr kumimoji="1" lang="ja-JP" altLang="en-US" sz="1100"/>
            <a:t>入力は</a:t>
          </a:r>
          <a:endParaRPr kumimoji="1" lang="en-US" altLang="ja-JP" sz="1100"/>
        </a:p>
        <a:p>
          <a:pPr algn="ctr"/>
          <a:r>
            <a:rPr kumimoji="1" lang="ja-JP" altLang="en-US" sz="1100"/>
            <a:t>こちらのシートへ</a:t>
          </a:r>
          <a:endParaRPr kumimoji="1" lang="en-US" altLang="ja-JP" sz="1100"/>
        </a:p>
        <a:p>
          <a:pPr algn="ctr"/>
          <a:r>
            <a:rPr kumimoji="1" lang="ja-JP" altLang="en-US" sz="1100"/>
            <a:t>お願いします。</a:t>
          </a:r>
        </a:p>
      </xdr:txBody>
    </xdr:sp>
    <xdr:clientData/>
  </xdr:twoCellAnchor>
  <xdr:twoCellAnchor>
    <xdr:from>
      <xdr:col>9</xdr:col>
      <xdr:colOff>85725</xdr:colOff>
      <xdr:row>7</xdr:row>
      <xdr:rowOff>95250</xdr:rowOff>
    </xdr:from>
    <xdr:to>
      <xdr:col>12</xdr:col>
      <xdr:colOff>400050</xdr:colOff>
      <xdr:row>7</xdr:row>
      <xdr:rowOff>96838</xdr:rowOff>
    </xdr:to>
    <xdr:cxnSp macro="">
      <xdr:nvCxnSpPr>
        <xdr:cNvPr id="6" name="直線矢印コネクタ 5"/>
        <xdr:cNvCxnSpPr/>
      </xdr:nvCxnSpPr>
      <xdr:spPr bwMode="auto">
        <a:xfrm>
          <a:off x="8334375" y="1295400"/>
          <a:ext cx="180022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438150</xdr:colOff>
      <xdr:row>7</xdr:row>
      <xdr:rowOff>95250</xdr:rowOff>
    </xdr:from>
    <xdr:to>
      <xdr:col>14</xdr:col>
      <xdr:colOff>933450</xdr:colOff>
      <xdr:row>7</xdr:row>
      <xdr:rowOff>96838</xdr:rowOff>
    </xdr:to>
    <xdr:cxnSp macro="">
      <xdr:nvCxnSpPr>
        <xdr:cNvPr id="8" name="直線矢印コネクタ 7"/>
        <xdr:cNvCxnSpPr/>
      </xdr:nvCxnSpPr>
      <xdr:spPr bwMode="auto">
        <a:xfrm>
          <a:off x="10172700" y="12954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7</xdr:row>
      <xdr:rowOff>104775</xdr:rowOff>
    </xdr:from>
    <xdr:to>
      <xdr:col>17</xdr:col>
      <xdr:colOff>333375</xdr:colOff>
      <xdr:row>7</xdr:row>
      <xdr:rowOff>106363</xdr:rowOff>
    </xdr:to>
    <xdr:cxnSp macro="">
      <xdr:nvCxnSpPr>
        <xdr:cNvPr id="12" name="直線矢印コネクタ 11"/>
        <xdr:cNvCxnSpPr/>
      </xdr:nvCxnSpPr>
      <xdr:spPr bwMode="auto">
        <a:xfrm>
          <a:off x="12401550" y="130492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171450</xdr:colOff>
      <xdr:row>7</xdr:row>
      <xdr:rowOff>114300</xdr:rowOff>
    </xdr:from>
    <xdr:to>
      <xdr:col>21</xdr:col>
      <xdr:colOff>676275</xdr:colOff>
      <xdr:row>7</xdr:row>
      <xdr:rowOff>115888</xdr:rowOff>
    </xdr:to>
    <xdr:cxnSp macro="">
      <xdr:nvCxnSpPr>
        <xdr:cNvPr id="13" name="直線矢印コネクタ 12"/>
        <xdr:cNvCxnSpPr/>
      </xdr:nvCxnSpPr>
      <xdr:spPr bwMode="auto">
        <a:xfrm>
          <a:off x="1476375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847725</xdr:colOff>
      <xdr:row>7</xdr:row>
      <xdr:rowOff>133350</xdr:rowOff>
    </xdr:from>
    <xdr:to>
      <xdr:col>26</xdr:col>
      <xdr:colOff>0</xdr:colOff>
      <xdr:row>7</xdr:row>
      <xdr:rowOff>134938</xdr:rowOff>
    </xdr:to>
    <xdr:cxnSp macro="">
      <xdr:nvCxnSpPr>
        <xdr:cNvPr id="14" name="直線矢印コネクタ 13"/>
        <xdr:cNvCxnSpPr/>
      </xdr:nvCxnSpPr>
      <xdr:spPr bwMode="auto">
        <a:xfrm>
          <a:off x="170497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247650</xdr:colOff>
      <xdr:row>7</xdr:row>
      <xdr:rowOff>133350</xdr:rowOff>
    </xdr:from>
    <xdr:to>
      <xdr:col>30</xdr:col>
      <xdr:colOff>371475</xdr:colOff>
      <xdr:row>7</xdr:row>
      <xdr:rowOff>134938</xdr:rowOff>
    </xdr:to>
    <xdr:cxnSp macro="">
      <xdr:nvCxnSpPr>
        <xdr:cNvPr id="15" name="直線矢印コネクタ 14"/>
        <xdr:cNvCxnSpPr/>
      </xdr:nvCxnSpPr>
      <xdr:spPr bwMode="auto">
        <a:xfrm>
          <a:off x="194119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714375</xdr:colOff>
      <xdr:row>7</xdr:row>
      <xdr:rowOff>114300</xdr:rowOff>
    </xdr:from>
    <xdr:to>
      <xdr:col>34</xdr:col>
      <xdr:colOff>266700</xdr:colOff>
      <xdr:row>7</xdr:row>
      <xdr:rowOff>115888</xdr:rowOff>
    </xdr:to>
    <xdr:cxnSp macro="">
      <xdr:nvCxnSpPr>
        <xdr:cNvPr id="16" name="直線矢印コネクタ 15"/>
        <xdr:cNvCxnSpPr/>
      </xdr:nvCxnSpPr>
      <xdr:spPr bwMode="auto">
        <a:xfrm>
          <a:off x="218694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85725</xdr:colOff>
      <xdr:row>7</xdr:row>
      <xdr:rowOff>114300</xdr:rowOff>
    </xdr:from>
    <xdr:to>
      <xdr:col>38</xdr:col>
      <xdr:colOff>200025</xdr:colOff>
      <xdr:row>7</xdr:row>
      <xdr:rowOff>115888</xdr:rowOff>
    </xdr:to>
    <xdr:cxnSp macro="">
      <xdr:nvCxnSpPr>
        <xdr:cNvPr id="17" name="直線矢印コネクタ 16"/>
        <xdr:cNvCxnSpPr/>
      </xdr:nvCxnSpPr>
      <xdr:spPr bwMode="auto">
        <a:xfrm>
          <a:off x="24203025"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66675</xdr:colOff>
      <xdr:row>7</xdr:row>
      <xdr:rowOff>85725</xdr:rowOff>
    </xdr:from>
    <xdr:to>
      <xdr:col>42</xdr:col>
      <xdr:colOff>28575</xdr:colOff>
      <xdr:row>7</xdr:row>
      <xdr:rowOff>87313</xdr:rowOff>
    </xdr:to>
    <xdr:cxnSp macro="">
      <xdr:nvCxnSpPr>
        <xdr:cNvPr id="18" name="直線矢印コネクタ 17"/>
        <xdr:cNvCxnSpPr/>
      </xdr:nvCxnSpPr>
      <xdr:spPr bwMode="auto">
        <a:xfrm>
          <a:off x="26584275" y="128587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333375</xdr:colOff>
      <xdr:row>7</xdr:row>
      <xdr:rowOff>76200</xdr:rowOff>
    </xdr:from>
    <xdr:to>
      <xdr:col>46</xdr:col>
      <xdr:colOff>428625</xdr:colOff>
      <xdr:row>7</xdr:row>
      <xdr:rowOff>77788</xdr:rowOff>
    </xdr:to>
    <xdr:cxnSp macro="">
      <xdr:nvCxnSpPr>
        <xdr:cNvPr id="19" name="直線矢印コネクタ 18"/>
        <xdr:cNvCxnSpPr/>
      </xdr:nvCxnSpPr>
      <xdr:spPr bwMode="auto">
        <a:xfrm>
          <a:off x="2900362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733425</xdr:colOff>
      <xdr:row>7</xdr:row>
      <xdr:rowOff>76200</xdr:rowOff>
    </xdr:from>
    <xdr:to>
      <xdr:col>50</xdr:col>
      <xdr:colOff>695325</xdr:colOff>
      <xdr:row>7</xdr:row>
      <xdr:rowOff>77788</xdr:rowOff>
    </xdr:to>
    <xdr:cxnSp macro="">
      <xdr:nvCxnSpPr>
        <xdr:cNvPr id="20" name="直線矢印コネクタ 19"/>
        <xdr:cNvCxnSpPr/>
      </xdr:nvCxnSpPr>
      <xdr:spPr bwMode="auto">
        <a:xfrm>
          <a:off x="3142297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295275</xdr:colOff>
      <xdr:row>7</xdr:row>
      <xdr:rowOff>76200</xdr:rowOff>
    </xdr:from>
    <xdr:to>
      <xdr:col>55</xdr:col>
      <xdr:colOff>257175</xdr:colOff>
      <xdr:row>7</xdr:row>
      <xdr:rowOff>77788</xdr:rowOff>
    </xdr:to>
    <xdr:cxnSp macro="">
      <xdr:nvCxnSpPr>
        <xdr:cNvPr id="21" name="直線矢印コネクタ 20"/>
        <xdr:cNvCxnSpPr/>
      </xdr:nvCxnSpPr>
      <xdr:spPr bwMode="auto">
        <a:xfrm>
          <a:off x="33947100"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695325</xdr:colOff>
      <xdr:row>7</xdr:row>
      <xdr:rowOff>114300</xdr:rowOff>
    </xdr:from>
    <xdr:to>
      <xdr:col>59</xdr:col>
      <xdr:colOff>247650</xdr:colOff>
      <xdr:row>7</xdr:row>
      <xdr:rowOff>115888</xdr:rowOff>
    </xdr:to>
    <xdr:cxnSp macro="">
      <xdr:nvCxnSpPr>
        <xdr:cNvPr id="22" name="直線矢印コネクタ 21"/>
        <xdr:cNvCxnSpPr/>
      </xdr:nvCxnSpPr>
      <xdr:spPr bwMode="auto">
        <a:xfrm>
          <a:off x="364998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190500</xdr:colOff>
      <xdr:row>7</xdr:row>
      <xdr:rowOff>104775</xdr:rowOff>
    </xdr:from>
    <xdr:to>
      <xdr:col>70</xdr:col>
      <xdr:colOff>628650</xdr:colOff>
      <xdr:row>7</xdr:row>
      <xdr:rowOff>106363</xdr:rowOff>
    </xdr:to>
    <xdr:cxnSp macro="">
      <xdr:nvCxnSpPr>
        <xdr:cNvPr id="23" name="直線矢印コネクタ 22"/>
        <xdr:cNvCxnSpPr/>
      </xdr:nvCxnSpPr>
      <xdr:spPr bwMode="auto">
        <a:xfrm>
          <a:off x="3895725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71</xdr:col>
      <xdr:colOff>95250</xdr:colOff>
      <xdr:row>7</xdr:row>
      <xdr:rowOff>95250</xdr:rowOff>
    </xdr:from>
    <xdr:to>
      <xdr:col>81</xdr:col>
      <xdr:colOff>533400</xdr:colOff>
      <xdr:row>7</xdr:row>
      <xdr:rowOff>96838</xdr:rowOff>
    </xdr:to>
    <xdr:cxnSp macro="">
      <xdr:nvCxnSpPr>
        <xdr:cNvPr id="25" name="直線矢印コネクタ 24"/>
        <xdr:cNvCxnSpPr/>
      </xdr:nvCxnSpPr>
      <xdr:spPr bwMode="auto">
        <a:xfrm>
          <a:off x="45434250" y="129540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82</xdr:col>
      <xdr:colOff>85725</xdr:colOff>
      <xdr:row>7</xdr:row>
      <xdr:rowOff>85725</xdr:rowOff>
    </xdr:from>
    <xdr:to>
      <xdr:col>93</xdr:col>
      <xdr:colOff>114300</xdr:colOff>
      <xdr:row>7</xdr:row>
      <xdr:rowOff>87313</xdr:rowOff>
    </xdr:to>
    <xdr:cxnSp macro="">
      <xdr:nvCxnSpPr>
        <xdr:cNvPr id="26" name="直線矢印コネクタ 25"/>
        <xdr:cNvCxnSpPr/>
      </xdr:nvCxnSpPr>
      <xdr:spPr bwMode="auto">
        <a:xfrm>
          <a:off x="5196840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94</xdr:col>
      <xdr:colOff>0</xdr:colOff>
      <xdr:row>7</xdr:row>
      <xdr:rowOff>114300</xdr:rowOff>
    </xdr:from>
    <xdr:to>
      <xdr:col>105</xdr:col>
      <xdr:colOff>19050</xdr:colOff>
      <xdr:row>7</xdr:row>
      <xdr:rowOff>115888</xdr:rowOff>
    </xdr:to>
    <xdr:cxnSp macro="">
      <xdr:nvCxnSpPr>
        <xdr:cNvPr id="27" name="直線矢印コネクタ 26"/>
        <xdr:cNvCxnSpPr/>
      </xdr:nvCxnSpPr>
      <xdr:spPr bwMode="auto">
        <a:xfrm>
          <a:off x="58454925" y="13144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105</xdr:col>
      <xdr:colOff>323850</xdr:colOff>
      <xdr:row>7</xdr:row>
      <xdr:rowOff>104775</xdr:rowOff>
    </xdr:from>
    <xdr:to>
      <xdr:col>116</xdr:col>
      <xdr:colOff>390525</xdr:colOff>
      <xdr:row>7</xdr:row>
      <xdr:rowOff>106363</xdr:rowOff>
    </xdr:to>
    <xdr:cxnSp macro="">
      <xdr:nvCxnSpPr>
        <xdr:cNvPr id="28" name="直線矢印コネクタ 27"/>
        <xdr:cNvCxnSpPr/>
      </xdr:nvCxnSpPr>
      <xdr:spPr bwMode="auto">
        <a:xfrm>
          <a:off x="6496050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117</xdr:col>
      <xdr:colOff>209550</xdr:colOff>
      <xdr:row>7</xdr:row>
      <xdr:rowOff>85725</xdr:rowOff>
    </xdr:from>
    <xdr:to>
      <xdr:col>129</xdr:col>
      <xdr:colOff>381000</xdr:colOff>
      <xdr:row>7</xdr:row>
      <xdr:rowOff>87313</xdr:rowOff>
    </xdr:to>
    <xdr:cxnSp macro="">
      <xdr:nvCxnSpPr>
        <xdr:cNvPr id="29" name="直線矢印コネクタ 28"/>
        <xdr:cNvCxnSpPr/>
      </xdr:nvCxnSpPr>
      <xdr:spPr bwMode="auto">
        <a:xfrm>
          <a:off x="7157085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130</xdr:col>
      <xdr:colOff>200025</xdr:colOff>
      <xdr:row>7</xdr:row>
      <xdr:rowOff>76200</xdr:rowOff>
    </xdr:from>
    <xdr:to>
      <xdr:col>141</xdr:col>
      <xdr:colOff>409575</xdr:colOff>
      <xdr:row>7</xdr:row>
      <xdr:rowOff>77788</xdr:rowOff>
    </xdr:to>
    <xdr:cxnSp macro="">
      <xdr:nvCxnSpPr>
        <xdr:cNvPr id="30" name="直線矢印コネクタ 29"/>
        <xdr:cNvCxnSpPr/>
      </xdr:nvCxnSpPr>
      <xdr:spPr bwMode="auto">
        <a:xfrm>
          <a:off x="77990700" y="12763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142</xdr:col>
      <xdr:colOff>114300</xdr:colOff>
      <xdr:row>2</xdr:row>
      <xdr:rowOff>123825</xdr:rowOff>
    </xdr:from>
    <xdr:to>
      <xdr:col>146</xdr:col>
      <xdr:colOff>800100</xdr:colOff>
      <xdr:row>7</xdr:row>
      <xdr:rowOff>76200</xdr:rowOff>
    </xdr:to>
    <xdr:cxnSp macro="">
      <xdr:nvCxnSpPr>
        <xdr:cNvPr id="31" name="直線矢印コネクタ 30"/>
        <xdr:cNvCxnSpPr/>
      </xdr:nvCxnSpPr>
      <xdr:spPr bwMode="auto">
        <a:xfrm flipV="1">
          <a:off x="84467700" y="466725"/>
          <a:ext cx="2705100" cy="809625"/>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333375</xdr:colOff>
      <xdr:row>2</xdr:row>
      <xdr:rowOff>9525</xdr:rowOff>
    </xdr:from>
    <xdr:to>
      <xdr:col>11</xdr:col>
      <xdr:colOff>533400</xdr:colOff>
      <xdr:row>5</xdr:row>
      <xdr:rowOff>161925</xdr:rowOff>
    </xdr:to>
    <xdr:sp macro="" textlink="">
      <xdr:nvSpPr>
        <xdr:cNvPr id="32" name="上矢印吹き出し 31"/>
        <xdr:cNvSpPr/>
      </xdr:nvSpPr>
      <xdr:spPr bwMode="auto">
        <a:xfrm>
          <a:off x="8582025" y="352425"/>
          <a:ext cx="1152525" cy="666750"/>
        </a:xfrm>
        <a:prstGeom prst="upArrowCallout">
          <a:avLst/>
        </a:prstGeom>
        <a:solidFill>
          <a:schemeClr val="accent6"/>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kumimoji="1" lang="ja-JP" altLang="en-US" sz="1000"/>
            <a:t>希望する　→○</a:t>
          </a:r>
          <a:endParaRPr kumimoji="1" lang="en-US" altLang="ja-JP" sz="1000"/>
        </a:p>
        <a:p>
          <a:pPr algn="ctr"/>
          <a:r>
            <a:rPr kumimoji="1" lang="ja-JP" altLang="en-US" sz="1000"/>
            <a:t>希望しない→</a:t>
          </a:r>
          <a:r>
            <a:rPr kumimoji="1" lang="en-US" altLang="ja-JP" sz="1000"/>
            <a:t>×</a:t>
          </a:r>
          <a:endParaRPr kumimoji="1" lang="ja-JP" alt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85725</xdr:colOff>
      <xdr:row>7</xdr:row>
      <xdr:rowOff>95250</xdr:rowOff>
    </xdr:from>
    <xdr:to>
      <xdr:col>12</xdr:col>
      <xdr:colOff>400050</xdr:colOff>
      <xdr:row>7</xdr:row>
      <xdr:rowOff>96838</xdr:rowOff>
    </xdr:to>
    <xdr:cxnSp macro="">
      <xdr:nvCxnSpPr>
        <xdr:cNvPr id="2" name="直線矢印コネクタ 1"/>
        <xdr:cNvCxnSpPr/>
      </xdr:nvCxnSpPr>
      <xdr:spPr bwMode="auto">
        <a:xfrm>
          <a:off x="8334375" y="1295400"/>
          <a:ext cx="180022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438150</xdr:colOff>
      <xdr:row>7</xdr:row>
      <xdr:rowOff>95250</xdr:rowOff>
    </xdr:from>
    <xdr:to>
      <xdr:col>14</xdr:col>
      <xdr:colOff>933450</xdr:colOff>
      <xdr:row>7</xdr:row>
      <xdr:rowOff>96838</xdr:rowOff>
    </xdr:to>
    <xdr:cxnSp macro="">
      <xdr:nvCxnSpPr>
        <xdr:cNvPr id="3" name="直線矢印コネクタ 2"/>
        <xdr:cNvCxnSpPr/>
      </xdr:nvCxnSpPr>
      <xdr:spPr bwMode="auto">
        <a:xfrm>
          <a:off x="10172700" y="12954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7</xdr:row>
      <xdr:rowOff>104775</xdr:rowOff>
    </xdr:from>
    <xdr:to>
      <xdr:col>17</xdr:col>
      <xdr:colOff>333375</xdr:colOff>
      <xdr:row>7</xdr:row>
      <xdr:rowOff>106363</xdr:rowOff>
    </xdr:to>
    <xdr:cxnSp macro="">
      <xdr:nvCxnSpPr>
        <xdr:cNvPr id="4" name="直線矢印コネクタ 3"/>
        <xdr:cNvCxnSpPr/>
      </xdr:nvCxnSpPr>
      <xdr:spPr bwMode="auto">
        <a:xfrm>
          <a:off x="12401550" y="130492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171450</xdr:colOff>
      <xdr:row>7</xdr:row>
      <xdr:rowOff>114300</xdr:rowOff>
    </xdr:from>
    <xdr:to>
      <xdr:col>21</xdr:col>
      <xdr:colOff>676275</xdr:colOff>
      <xdr:row>7</xdr:row>
      <xdr:rowOff>115888</xdr:rowOff>
    </xdr:to>
    <xdr:cxnSp macro="">
      <xdr:nvCxnSpPr>
        <xdr:cNvPr id="5" name="直線矢印コネクタ 4"/>
        <xdr:cNvCxnSpPr/>
      </xdr:nvCxnSpPr>
      <xdr:spPr bwMode="auto">
        <a:xfrm>
          <a:off x="1476375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847725</xdr:colOff>
      <xdr:row>7</xdr:row>
      <xdr:rowOff>133350</xdr:rowOff>
    </xdr:from>
    <xdr:to>
      <xdr:col>26</xdr:col>
      <xdr:colOff>0</xdr:colOff>
      <xdr:row>7</xdr:row>
      <xdr:rowOff>134938</xdr:rowOff>
    </xdr:to>
    <xdr:cxnSp macro="">
      <xdr:nvCxnSpPr>
        <xdr:cNvPr id="6" name="直線矢印コネクタ 5"/>
        <xdr:cNvCxnSpPr/>
      </xdr:nvCxnSpPr>
      <xdr:spPr bwMode="auto">
        <a:xfrm>
          <a:off x="170497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247650</xdr:colOff>
      <xdr:row>7</xdr:row>
      <xdr:rowOff>133350</xdr:rowOff>
    </xdr:from>
    <xdr:to>
      <xdr:col>30</xdr:col>
      <xdr:colOff>371475</xdr:colOff>
      <xdr:row>7</xdr:row>
      <xdr:rowOff>134938</xdr:rowOff>
    </xdr:to>
    <xdr:cxnSp macro="">
      <xdr:nvCxnSpPr>
        <xdr:cNvPr id="7" name="直線矢印コネクタ 6"/>
        <xdr:cNvCxnSpPr/>
      </xdr:nvCxnSpPr>
      <xdr:spPr bwMode="auto">
        <a:xfrm>
          <a:off x="194119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714375</xdr:colOff>
      <xdr:row>7</xdr:row>
      <xdr:rowOff>114300</xdr:rowOff>
    </xdr:from>
    <xdr:to>
      <xdr:col>34</xdr:col>
      <xdr:colOff>266700</xdr:colOff>
      <xdr:row>7</xdr:row>
      <xdr:rowOff>115888</xdr:rowOff>
    </xdr:to>
    <xdr:cxnSp macro="">
      <xdr:nvCxnSpPr>
        <xdr:cNvPr id="8" name="直線矢印コネクタ 7"/>
        <xdr:cNvCxnSpPr/>
      </xdr:nvCxnSpPr>
      <xdr:spPr bwMode="auto">
        <a:xfrm>
          <a:off x="218694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85725</xdr:colOff>
      <xdr:row>7</xdr:row>
      <xdr:rowOff>114300</xdr:rowOff>
    </xdr:from>
    <xdr:to>
      <xdr:col>38</xdr:col>
      <xdr:colOff>200025</xdr:colOff>
      <xdr:row>7</xdr:row>
      <xdr:rowOff>115888</xdr:rowOff>
    </xdr:to>
    <xdr:cxnSp macro="">
      <xdr:nvCxnSpPr>
        <xdr:cNvPr id="9" name="直線矢印コネクタ 8"/>
        <xdr:cNvCxnSpPr/>
      </xdr:nvCxnSpPr>
      <xdr:spPr bwMode="auto">
        <a:xfrm>
          <a:off x="24203025"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66675</xdr:colOff>
      <xdr:row>7</xdr:row>
      <xdr:rowOff>85725</xdr:rowOff>
    </xdr:from>
    <xdr:to>
      <xdr:col>42</xdr:col>
      <xdr:colOff>28575</xdr:colOff>
      <xdr:row>7</xdr:row>
      <xdr:rowOff>87313</xdr:rowOff>
    </xdr:to>
    <xdr:cxnSp macro="">
      <xdr:nvCxnSpPr>
        <xdr:cNvPr id="10" name="直線矢印コネクタ 9"/>
        <xdr:cNvCxnSpPr/>
      </xdr:nvCxnSpPr>
      <xdr:spPr bwMode="auto">
        <a:xfrm>
          <a:off x="26584275" y="128587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333375</xdr:colOff>
      <xdr:row>7</xdr:row>
      <xdr:rowOff>76200</xdr:rowOff>
    </xdr:from>
    <xdr:to>
      <xdr:col>46</xdr:col>
      <xdr:colOff>428625</xdr:colOff>
      <xdr:row>7</xdr:row>
      <xdr:rowOff>77788</xdr:rowOff>
    </xdr:to>
    <xdr:cxnSp macro="">
      <xdr:nvCxnSpPr>
        <xdr:cNvPr id="11" name="直線矢印コネクタ 10"/>
        <xdr:cNvCxnSpPr/>
      </xdr:nvCxnSpPr>
      <xdr:spPr bwMode="auto">
        <a:xfrm>
          <a:off x="2900362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733425</xdr:colOff>
      <xdr:row>7</xdr:row>
      <xdr:rowOff>76200</xdr:rowOff>
    </xdr:from>
    <xdr:to>
      <xdr:col>50</xdr:col>
      <xdr:colOff>695325</xdr:colOff>
      <xdr:row>7</xdr:row>
      <xdr:rowOff>77788</xdr:rowOff>
    </xdr:to>
    <xdr:cxnSp macro="">
      <xdr:nvCxnSpPr>
        <xdr:cNvPr id="12" name="直線矢印コネクタ 11"/>
        <xdr:cNvCxnSpPr/>
      </xdr:nvCxnSpPr>
      <xdr:spPr bwMode="auto">
        <a:xfrm>
          <a:off x="3142297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295275</xdr:colOff>
      <xdr:row>7</xdr:row>
      <xdr:rowOff>76200</xdr:rowOff>
    </xdr:from>
    <xdr:to>
      <xdr:col>55</xdr:col>
      <xdr:colOff>257175</xdr:colOff>
      <xdr:row>7</xdr:row>
      <xdr:rowOff>77788</xdr:rowOff>
    </xdr:to>
    <xdr:cxnSp macro="">
      <xdr:nvCxnSpPr>
        <xdr:cNvPr id="13" name="直線矢印コネクタ 12"/>
        <xdr:cNvCxnSpPr/>
      </xdr:nvCxnSpPr>
      <xdr:spPr bwMode="auto">
        <a:xfrm>
          <a:off x="33947100"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695325</xdr:colOff>
      <xdr:row>7</xdr:row>
      <xdr:rowOff>114300</xdr:rowOff>
    </xdr:from>
    <xdr:to>
      <xdr:col>59</xdr:col>
      <xdr:colOff>247650</xdr:colOff>
      <xdr:row>7</xdr:row>
      <xdr:rowOff>115888</xdr:rowOff>
    </xdr:to>
    <xdr:cxnSp macro="">
      <xdr:nvCxnSpPr>
        <xdr:cNvPr id="14" name="直線矢印コネクタ 13"/>
        <xdr:cNvCxnSpPr/>
      </xdr:nvCxnSpPr>
      <xdr:spPr bwMode="auto">
        <a:xfrm>
          <a:off x="364998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190500</xdr:colOff>
      <xdr:row>7</xdr:row>
      <xdr:rowOff>104775</xdr:rowOff>
    </xdr:from>
    <xdr:to>
      <xdr:col>70</xdr:col>
      <xdr:colOff>628650</xdr:colOff>
      <xdr:row>7</xdr:row>
      <xdr:rowOff>106363</xdr:rowOff>
    </xdr:to>
    <xdr:cxnSp macro="">
      <xdr:nvCxnSpPr>
        <xdr:cNvPr id="15" name="直線矢印コネクタ 14"/>
        <xdr:cNvCxnSpPr/>
      </xdr:nvCxnSpPr>
      <xdr:spPr bwMode="auto">
        <a:xfrm>
          <a:off x="3895725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71</xdr:col>
      <xdr:colOff>95250</xdr:colOff>
      <xdr:row>7</xdr:row>
      <xdr:rowOff>95250</xdr:rowOff>
    </xdr:from>
    <xdr:to>
      <xdr:col>81</xdr:col>
      <xdr:colOff>533400</xdr:colOff>
      <xdr:row>7</xdr:row>
      <xdr:rowOff>96838</xdr:rowOff>
    </xdr:to>
    <xdr:cxnSp macro="">
      <xdr:nvCxnSpPr>
        <xdr:cNvPr id="16" name="直線矢印コネクタ 15"/>
        <xdr:cNvCxnSpPr/>
      </xdr:nvCxnSpPr>
      <xdr:spPr bwMode="auto">
        <a:xfrm>
          <a:off x="45434250" y="129540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82</xdr:col>
      <xdr:colOff>85725</xdr:colOff>
      <xdr:row>7</xdr:row>
      <xdr:rowOff>85725</xdr:rowOff>
    </xdr:from>
    <xdr:to>
      <xdr:col>93</xdr:col>
      <xdr:colOff>114300</xdr:colOff>
      <xdr:row>7</xdr:row>
      <xdr:rowOff>87313</xdr:rowOff>
    </xdr:to>
    <xdr:cxnSp macro="">
      <xdr:nvCxnSpPr>
        <xdr:cNvPr id="17" name="直線矢印コネクタ 16"/>
        <xdr:cNvCxnSpPr/>
      </xdr:nvCxnSpPr>
      <xdr:spPr bwMode="auto">
        <a:xfrm>
          <a:off x="5196840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94</xdr:col>
      <xdr:colOff>0</xdr:colOff>
      <xdr:row>7</xdr:row>
      <xdr:rowOff>114300</xdr:rowOff>
    </xdr:from>
    <xdr:to>
      <xdr:col>105</xdr:col>
      <xdr:colOff>19050</xdr:colOff>
      <xdr:row>7</xdr:row>
      <xdr:rowOff>115888</xdr:rowOff>
    </xdr:to>
    <xdr:cxnSp macro="">
      <xdr:nvCxnSpPr>
        <xdr:cNvPr id="18" name="直線矢印コネクタ 17"/>
        <xdr:cNvCxnSpPr/>
      </xdr:nvCxnSpPr>
      <xdr:spPr bwMode="auto">
        <a:xfrm>
          <a:off x="58454925" y="13144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105</xdr:col>
      <xdr:colOff>323850</xdr:colOff>
      <xdr:row>7</xdr:row>
      <xdr:rowOff>104775</xdr:rowOff>
    </xdr:from>
    <xdr:to>
      <xdr:col>116</xdr:col>
      <xdr:colOff>390525</xdr:colOff>
      <xdr:row>7</xdr:row>
      <xdr:rowOff>106363</xdr:rowOff>
    </xdr:to>
    <xdr:cxnSp macro="">
      <xdr:nvCxnSpPr>
        <xdr:cNvPr id="19" name="直線矢印コネクタ 18"/>
        <xdr:cNvCxnSpPr/>
      </xdr:nvCxnSpPr>
      <xdr:spPr bwMode="auto">
        <a:xfrm>
          <a:off x="6496050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117</xdr:col>
      <xdr:colOff>209550</xdr:colOff>
      <xdr:row>7</xdr:row>
      <xdr:rowOff>85725</xdr:rowOff>
    </xdr:from>
    <xdr:to>
      <xdr:col>129</xdr:col>
      <xdr:colOff>381000</xdr:colOff>
      <xdr:row>7</xdr:row>
      <xdr:rowOff>87313</xdr:rowOff>
    </xdr:to>
    <xdr:cxnSp macro="">
      <xdr:nvCxnSpPr>
        <xdr:cNvPr id="20" name="直線矢印コネクタ 19"/>
        <xdr:cNvCxnSpPr/>
      </xdr:nvCxnSpPr>
      <xdr:spPr bwMode="auto">
        <a:xfrm>
          <a:off x="7157085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130</xdr:col>
      <xdr:colOff>200025</xdr:colOff>
      <xdr:row>7</xdr:row>
      <xdr:rowOff>76200</xdr:rowOff>
    </xdr:from>
    <xdr:to>
      <xdr:col>141</xdr:col>
      <xdr:colOff>409575</xdr:colOff>
      <xdr:row>7</xdr:row>
      <xdr:rowOff>77788</xdr:rowOff>
    </xdr:to>
    <xdr:cxnSp macro="">
      <xdr:nvCxnSpPr>
        <xdr:cNvPr id="21" name="直線矢印コネクタ 20"/>
        <xdr:cNvCxnSpPr/>
      </xdr:nvCxnSpPr>
      <xdr:spPr bwMode="auto">
        <a:xfrm>
          <a:off x="77990700" y="12763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142</xdr:col>
      <xdr:colOff>85725</xdr:colOff>
      <xdr:row>2</xdr:row>
      <xdr:rowOff>114300</xdr:rowOff>
    </xdr:from>
    <xdr:to>
      <xdr:col>146</xdr:col>
      <xdr:colOff>514350</xdr:colOff>
      <xdr:row>7</xdr:row>
      <xdr:rowOff>76200</xdr:rowOff>
    </xdr:to>
    <xdr:cxnSp macro="">
      <xdr:nvCxnSpPr>
        <xdr:cNvPr id="22" name="直線矢印コネクタ 21"/>
        <xdr:cNvCxnSpPr/>
      </xdr:nvCxnSpPr>
      <xdr:spPr bwMode="auto">
        <a:xfrm flipV="1">
          <a:off x="84439125" y="457200"/>
          <a:ext cx="2447925" cy="819150"/>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pattFill prst="pct50">
          <a:fgClr>
            <a:srgbClr val="FFFFFF"/>
          </a:fgClr>
          <a:bgClr>
            <a:srgbClr val="FF7A01"/>
          </a:bgClr>
        </a:pattFill>
        <a:ln w="9525" cap="flat" cmpd="sng" algn="ctr">
          <a:noFill/>
          <a:prstDash val="solid"/>
          <a:round/>
          <a:headEnd type="none" w="med" len="med"/>
          <a:tailEnd type="none" w="med" len="med"/>
        </a:ln>
        <a:effectLst/>
        <a:scene3d>
          <a:camera prst="legacyPerspectiveBottomRight">
            <a:rot lat="0" lon="21239999" rev="0"/>
          </a:camera>
          <a:lightRig rig="legacyHarsh3" dir="l"/>
        </a:scene3d>
        <a:sp3d extrusionH="430200" prstMaterial="legacyMatte">
          <a:bevelT w="13500" h="13500" prst="angle"/>
          <a:bevelB w="13500" h="13500" prst="angle"/>
          <a:extrusionClr>
            <a:srgbClr val="C0C0C0"/>
          </a:extrusionClr>
        </a:sp3d>
      </a:spPr>
      <a:bodyPr vertOverflow="clip" wrap="square" lIns="18288" tIns="0" rIns="0" bIns="0" upright="1"/>
      <a:lstStyle/>
    </a:spDef>
    <a:lnDef>
      <a:spPr bwMode="auto">
        <a:xfrm>
          <a:off x="0" y="0"/>
          <a:ext cx="1" cy="1"/>
        </a:xfrm>
        <a:custGeom>
          <a:avLst/>
          <a:gdLst/>
          <a:ahLst/>
          <a:cxnLst/>
          <a:rect l="0" t="0" r="0" b="0"/>
          <a:pathLst/>
        </a:custGeom>
        <a:pattFill prst="pct50">
          <a:fgClr>
            <a:srgbClr val="FFFFFF"/>
          </a:fgClr>
          <a:bgClr>
            <a:srgbClr val="FF7A01"/>
          </a:bgClr>
        </a:pattFill>
        <a:ln w="9525" cap="flat" cmpd="sng" algn="ctr">
          <a:noFill/>
          <a:prstDash val="solid"/>
          <a:round/>
          <a:headEnd type="none" w="med" len="med"/>
          <a:tailEnd type="none" w="med" len="med"/>
        </a:ln>
        <a:effectLst/>
        <a:scene3d>
          <a:camera prst="legacyPerspectiveBottomRight">
            <a:rot lat="0" lon="21239999" rev="0"/>
          </a:camera>
          <a:lightRig rig="legacyHarsh3" dir="l"/>
        </a:scene3d>
        <a:sp3d extrusionH="430200" prstMaterial="legacyMatte">
          <a:bevelT w="13500" h="13500" prst="angle"/>
          <a:bevelB w="13500" h="13500" prst="angle"/>
          <a:extrusionClr>
            <a:srgbClr val="C0C0C0"/>
          </a:extrusionClr>
        </a:sp3d>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EQ87"/>
  <sheetViews>
    <sheetView zoomScaleNormal="100" workbookViewId="0">
      <pane xSplit="2" topLeftCell="C1" activePane="topRight" state="frozenSplit"/>
      <selection pane="topRight" activeCell="C1" sqref="C1"/>
    </sheetView>
  </sheetViews>
  <sheetFormatPr defaultRowHeight="13.5" x14ac:dyDescent="0.15"/>
  <cols>
    <col min="1" max="1" width="4.5" style="5" bestFit="1" customWidth="1"/>
    <col min="2" max="2" width="24.25" style="5" bestFit="1" customWidth="1"/>
    <col min="3" max="3" width="25.75" style="5" bestFit="1" customWidth="1"/>
    <col min="4" max="4" width="9.5" style="5" bestFit="1" customWidth="1"/>
    <col min="5" max="5" width="11" style="5" bestFit="1" customWidth="1"/>
    <col min="6" max="6" width="15" style="5" bestFit="1" customWidth="1"/>
    <col min="7" max="7" width="6.5" style="5" bestFit="1" customWidth="1"/>
    <col min="8" max="8" width="5.25" style="5" bestFit="1" customWidth="1"/>
    <col min="9" max="9" width="6.5" style="5" bestFit="1" customWidth="1"/>
    <col min="10" max="10" width="5.25" style="5" bestFit="1" customWidth="1"/>
    <col min="11" max="11" width="7.25" style="5" customWidth="1"/>
    <col min="12" max="12" width="9" style="5"/>
    <col min="13" max="13" width="11" style="5" bestFit="1" customWidth="1"/>
    <col min="14" max="14" width="10.25" style="5" bestFit="1" customWidth="1"/>
    <col min="15" max="17" width="12.375" style="5" bestFit="1" customWidth="1"/>
    <col min="18" max="18" width="5.375" style="5" bestFit="1" customWidth="1"/>
    <col min="19" max="20" width="5.25" style="5" bestFit="1" customWidth="1"/>
    <col min="21" max="21" width="10.625" style="5" customWidth="1"/>
    <col min="22" max="22" width="12.375" style="5" bestFit="1" customWidth="1"/>
    <col min="23" max="23" width="5.375" style="5" bestFit="1" customWidth="1"/>
    <col min="24" max="25" width="5.25" style="5" bestFit="1" customWidth="1"/>
    <col min="26" max="26" width="10.625" style="5" customWidth="1"/>
    <col min="27" max="27" width="10.25" style="5" bestFit="1" customWidth="1"/>
    <col min="28" max="28" width="5.375" style="5" bestFit="1" customWidth="1"/>
    <col min="29" max="30" width="5.25" style="5" bestFit="1" customWidth="1"/>
    <col min="31" max="31" width="10.625" style="5" customWidth="1"/>
    <col min="32" max="32" width="12.375" style="5" bestFit="1" customWidth="1"/>
    <col min="33" max="33" width="5.375" style="5" bestFit="1" customWidth="1"/>
    <col min="34" max="35" width="5.25" style="5" bestFit="1" customWidth="1"/>
    <col min="36" max="36" width="10.625" style="5" customWidth="1"/>
    <col min="37" max="37" width="10.25" style="5" bestFit="1" customWidth="1"/>
    <col min="38" max="38" width="5.375" style="5" bestFit="1" customWidth="1"/>
    <col min="39" max="40" width="5.25" style="5" bestFit="1" customWidth="1"/>
    <col min="41" max="41" width="10.625" style="5" customWidth="1"/>
    <col min="42" max="42" width="12.375" style="5" bestFit="1" customWidth="1"/>
    <col min="43" max="43" width="5.375" style="5" customWidth="1"/>
    <col min="44" max="45" width="5.25" style="5" bestFit="1" customWidth="1"/>
    <col min="46" max="46" width="10.625" style="5" customWidth="1"/>
    <col min="47" max="47" width="12.375" style="5" bestFit="1" customWidth="1"/>
    <col min="48" max="48" width="5.375" style="5" bestFit="1" customWidth="1"/>
    <col min="49" max="50" width="5.25" style="5" bestFit="1" customWidth="1"/>
    <col min="51" max="51" width="10.625" style="5" customWidth="1"/>
    <col min="52" max="52" width="12.375" style="5" bestFit="1" customWidth="1"/>
    <col min="53" max="53" width="5.375" style="5" bestFit="1" customWidth="1"/>
    <col min="54" max="55" width="5.25" style="5" bestFit="1" customWidth="1"/>
    <col min="56" max="56" width="10.625" style="5" customWidth="1"/>
    <col min="57" max="57" width="12.375" style="5" bestFit="1" customWidth="1"/>
    <col min="58" max="58" width="5.375" style="5" bestFit="1" customWidth="1"/>
    <col min="59" max="59" width="5.25" style="5" bestFit="1" customWidth="1"/>
    <col min="60" max="60" width="5.25" style="5" customWidth="1"/>
    <col min="61" max="61" width="10.625" style="5" customWidth="1"/>
    <col min="62" max="62" width="12.375" style="5" bestFit="1" customWidth="1"/>
    <col min="63" max="63" width="5.375" style="5" bestFit="1" customWidth="1"/>
    <col min="64" max="65" width="5.25" style="5" bestFit="1" customWidth="1"/>
    <col min="66" max="66" width="10.625" style="5" customWidth="1"/>
    <col min="67" max="67" width="10.25" style="5" bestFit="1" customWidth="1"/>
    <col min="68" max="68" width="5.375" style="5" bestFit="1" customWidth="1"/>
    <col min="69" max="70" width="5.25" style="5" bestFit="1" customWidth="1"/>
    <col min="71" max="71" width="10.625" style="5" customWidth="1"/>
    <col min="72" max="72" width="10.25" style="5" bestFit="1" customWidth="1"/>
    <col min="73" max="73" width="5.375" style="5" bestFit="1" customWidth="1"/>
    <col min="74" max="75" width="5.25" style="5" bestFit="1" customWidth="1"/>
    <col min="76" max="76" width="10.625" style="5" customWidth="1"/>
    <col min="77" max="77" width="12.375" style="5" bestFit="1" customWidth="1"/>
    <col min="78" max="78" width="5.375" style="5" bestFit="1" customWidth="1"/>
    <col min="79" max="80" width="5.25" style="5" bestFit="1" customWidth="1"/>
    <col min="81" max="81" width="10.625" style="5" customWidth="1"/>
    <col min="82" max="82" width="10.25" style="5" bestFit="1" customWidth="1"/>
    <col min="83" max="83" width="5.375" style="5" bestFit="1" customWidth="1"/>
    <col min="84" max="84" width="5.25" style="5" bestFit="1" customWidth="1"/>
    <col min="85" max="85" width="5.25" style="5" customWidth="1"/>
    <col min="86" max="86" width="10.625" style="5" customWidth="1"/>
    <col min="87" max="87" width="10.25" style="5" bestFit="1" customWidth="1"/>
    <col min="88" max="88" width="5.375" style="5" bestFit="1" customWidth="1"/>
    <col min="89" max="90" width="5.25" style="5" bestFit="1" customWidth="1"/>
    <col min="91" max="91" width="10.625" style="5" customWidth="1"/>
    <col min="92" max="92" width="12.375" style="5" bestFit="1" customWidth="1"/>
    <col min="93" max="93" width="5.375" style="5" bestFit="1" customWidth="1"/>
    <col min="94" max="95" width="5.25" style="5" bestFit="1" customWidth="1"/>
    <col min="96" max="96" width="10.625" style="5" customWidth="1"/>
    <col min="97" max="97" width="11.5" style="5" customWidth="1"/>
    <col min="98" max="98" width="5.375" style="5" bestFit="1" customWidth="1"/>
    <col min="99" max="100" width="5.25" style="5" bestFit="1" customWidth="1"/>
    <col min="101" max="101" width="10.625" style="5" customWidth="1"/>
    <col min="102" max="102" width="11.375" style="5" customWidth="1"/>
    <col min="103" max="103" width="5.375" style="5" bestFit="1" customWidth="1"/>
    <col min="104" max="105" width="5.25" style="5" bestFit="1" customWidth="1"/>
    <col min="106" max="106" width="10.625" style="5" customWidth="1"/>
    <col min="107" max="107" width="9.625" style="5" customWidth="1"/>
    <col min="108" max="108" width="5.375" style="5" bestFit="1" customWidth="1"/>
    <col min="109" max="110" width="5.25" style="5" bestFit="1" customWidth="1"/>
    <col min="111" max="111" width="10.625" style="5" customWidth="1"/>
    <col min="112" max="112" width="7.25" style="5" bestFit="1" customWidth="1"/>
    <col min="113" max="113" width="5.375" style="5" bestFit="1" customWidth="1"/>
    <col min="114" max="115" width="5.25" style="5" bestFit="1" customWidth="1"/>
    <col min="116" max="116" width="10.625" style="5" customWidth="1"/>
    <col min="117" max="117" width="7.75" style="5" bestFit="1" customWidth="1"/>
    <col min="118" max="118" width="5.375" style="5" bestFit="1" customWidth="1"/>
    <col min="119" max="120" width="5.25" style="5" bestFit="1" customWidth="1"/>
    <col min="121" max="121" width="10.625" style="5" customWidth="1"/>
    <col min="122" max="122" width="7.75" style="5" bestFit="1" customWidth="1"/>
    <col min="123" max="123" width="5.375" style="5" bestFit="1" customWidth="1"/>
    <col min="124" max="125" width="5.25" style="5" bestFit="1" customWidth="1"/>
    <col min="126" max="126" width="10.625" style="5" customWidth="1"/>
    <col min="127" max="127" width="7.75" style="5" bestFit="1" customWidth="1"/>
    <col min="128" max="128" width="5.375" style="5" bestFit="1" customWidth="1"/>
    <col min="129" max="130" width="5.25" style="5" bestFit="1" customWidth="1"/>
    <col min="131" max="131" width="10.625" style="5" customWidth="1"/>
    <col min="132" max="132" width="7.5" style="5" bestFit="1" customWidth="1"/>
    <col min="133" max="133" width="5.375" style="5" bestFit="1" customWidth="1"/>
    <col min="134" max="135" width="5.25" style="5" bestFit="1" customWidth="1"/>
    <col min="136" max="136" width="10.625" style="5" customWidth="1"/>
    <col min="137" max="137" width="7.5" style="5" bestFit="1" customWidth="1"/>
    <col min="138" max="138" width="5.375" style="5" bestFit="1" customWidth="1"/>
    <col min="139" max="140" width="5.25" style="5" bestFit="1" customWidth="1"/>
    <col min="141" max="141" width="10.625" style="5" customWidth="1"/>
    <col min="142" max="142" width="7.5" style="5" bestFit="1" customWidth="1"/>
    <col min="143" max="143" width="5.375" style="5" bestFit="1" customWidth="1"/>
    <col min="144" max="145" width="5.25" style="5" bestFit="1" customWidth="1"/>
    <col min="146" max="146" width="10.625" style="5" customWidth="1"/>
    <col min="147" max="147" width="50.625" style="5" customWidth="1"/>
    <col min="148" max="16384" width="9" style="5"/>
  </cols>
  <sheetData>
    <row r="1" spans="1:147" x14ac:dyDescent="0.15">
      <c r="A1" s="27" t="s">
        <v>13</v>
      </c>
      <c r="B1" s="27" t="s">
        <v>45</v>
      </c>
      <c r="C1" s="27" t="s">
        <v>0</v>
      </c>
      <c r="D1" s="27" t="s">
        <v>14</v>
      </c>
      <c r="E1" s="27" t="s">
        <v>15</v>
      </c>
      <c r="F1" s="27" t="s">
        <v>16</v>
      </c>
      <c r="G1" s="27" t="s">
        <v>46</v>
      </c>
      <c r="H1" s="27"/>
      <c r="I1" s="27" t="s">
        <v>47</v>
      </c>
      <c r="J1" s="27"/>
      <c r="K1" s="27" t="s">
        <v>144</v>
      </c>
      <c r="L1" s="27"/>
      <c r="M1" s="27" t="s">
        <v>48</v>
      </c>
      <c r="N1" s="27" t="s">
        <v>17</v>
      </c>
      <c r="O1" s="27" t="s">
        <v>18</v>
      </c>
      <c r="P1" s="27" t="s">
        <v>19</v>
      </c>
      <c r="Q1" s="27" t="s">
        <v>20</v>
      </c>
      <c r="R1" s="27" t="s">
        <v>21</v>
      </c>
      <c r="S1" s="27" t="s">
        <v>10</v>
      </c>
      <c r="T1" s="27" t="s">
        <v>11</v>
      </c>
      <c r="U1" s="27" t="s">
        <v>52</v>
      </c>
      <c r="V1" s="27" t="s">
        <v>22</v>
      </c>
      <c r="W1" s="27" t="s">
        <v>21</v>
      </c>
      <c r="X1" s="27" t="s">
        <v>10</v>
      </c>
      <c r="Y1" s="27" t="s">
        <v>11</v>
      </c>
      <c r="Z1" s="27" t="s">
        <v>52</v>
      </c>
      <c r="AA1" s="27" t="s">
        <v>23</v>
      </c>
      <c r="AB1" s="27" t="s">
        <v>21</v>
      </c>
      <c r="AC1" s="27" t="s">
        <v>10</v>
      </c>
      <c r="AD1" s="27" t="s">
        <v>11</v>
      </c>
      <c r="AE1" s="27" t="s">
        <v>52</v>
      </c>
      <c r="AF1" s="27" t="s">
        <v>24</v>
      </c>
      <c r="AG1" s="27" t="s">
        <v>21</v>
      </c>
      <c r="AH1" s="27" t="s">
        <v>10</v>
      </c>
      <c r="AI1" s="27" t="s">
        <v>11</v>
      </c>
      <c r="AJ1" s="27" t="s">
        <v>52</v>
      </c>
      <c r="AK1" s="27" t="s">
        <v>25</v>
      </c>
      <c r="AL1" s="27" t="s">
        <v>21</v>
      </c>
      <c r="AM1" s="27" t="s">
        <v>10</v>
      </c>
      <c r="AN1" s="27" t="s">
        <v>11</v>
      </c>
      <c r="AO1" s="27" t="s">
        <v>52</v>
      </c>
      <c r="AP1" s="27" t="s">
        <v>26</v>
      </c>
      <c r="AQ1" s="27" t="s">
        <v>21</v>
      </c>
      <c r="AR1" s="27" t="s">
        <v>10</v>
      </c>
      <c r="AS1" s="27" t="s">
        <v>11</v>
      </c>
      <c r="AT1" s="27" t="s">
        <v>52</v>
      </c>
      <c r="AU1" s="27" t="s">
        <v>27</v>
      </c>
      <c r="AV1" s="27" t="s">
        <v>21</v>
      </c>
      <c r="AW1" s="27" t="s">
        <v>10</v>
      </c>
      <c r="AX1" s="27" t="s">
        <v>11</v>
      </c>
      <c r="AY1" s="27" t="s">
        <v>52</v>
      </c>
      <c r="AZ1" s="27" t="s">
        <v>28</v>
      </c>
      <c r="BA1" s="27" t="s">
        <v>21</v>
      </c>
      <c r="BB1" s="27" t="s">
        <v>10</v>
      </c>
      <c r="BC1" s="27" t="s">
        <v>11</v>
      </c>
      <c r="BD1" s="27" t="s">
        <v>52</v>
      </c>
      <c r="BE1" s="27" t="s">
        <v>29</v>
      </c>
      <c r="BF1" s="27" t="s">
        <v>21</v>
      </c>
      <c r="BG1" s="27" t="s">
        <v>10</v>
      </c>
      <c r="BH1" s="27" t="s">
        <v>11</v>
      </c>
      <c r="BI1" s="27" t="s">
        <v>52</v>
      </c>
      <c r="BJ1" s="27" t="s">
        <v>30</v>
      </c>
      <c r="BK1" s="27" t="s">
        <v>21</v>
      </c>
      <c r="BL1" s="27" t="s">
        <v>10</v>
      </c>
      <c r="BM1" s="27" t="s">
        <v>11</v>
      </c>
      <c r="BN1" s="27" t="s">
        <v>52</v>
      </c>
      <c r="BO1" s="27" t="s">
        <v>31</v>
      </c>
      <c r="BP1" s="27" t="s">
        <v>21</v>
      </c>
      <c r="BQ1" s="27" t="s">
        <v>10</v>
      </c>
      <c r="BR1" s="27" t="s">
        <v>11</v>
      </c>
      <c r="BS1" s="27" t="s">
        <v>52</v>
      </c>
      <c r="BT1" s="27" t="s">
        <v>32</v>
      </c>
      <c r="BU1" s="27" t="s">
        <v>21</v>
      </c>
      <c r="BV1" s="27" t="s">
        <v>10</v>
      </c>
      <c r="BW1" s="27" t="s">
        <v>11</v>
      </c>
      <c r="BX1" s="27" t="s">
        <v>52</v>
      </c>
      <c r="BY1" s="27" t="s">
        <v>33</v>
      </c>
      <c r="BZ1" s="27" t="s">
        <v>21</v>
      </c>
      <c r="CA1" s="27" t="s">
        <v>10</v>
      </c>
      <c r="CB1" s="27" t="s">
        <v>11</v>
      </c>
      <c r="CC1" s="27" t="s">
        <v>52</v>
      </c>
      <c r="CD1" s="27" t="s">
        <v>34</v>
      </c>
      <c r="CE1" s="27" t="s">
        <v>21</v>
      </c>
      <c r="CF1" s="27" t="s">
        <v>10</v>
      </c>
      <c r="CG1" s="27" t="s">
        <v>11</v>
      </c>
      <c r="CH1" s="27" t="s">
        <v>52</v>
      </c>
      <c r="CI1" s="27" t="s">
        <v>35</v>
      </c>
      <c r="CJ1" s="27" t="s">
        <v>21</v>
      </c>
      <c r="CK1" s="27" t="s">
        <v>10</v>
      </c>
      <c r="CL1" s="27" t="s">
        <v>11</v>
      </c>
      <c r="CM1" s="27" t="s">
        <v>52</v>
      </c>
      <c r="CN1" s="27" t="s">
        <v>36</v>
      </c>
      <c r="CO1" s="27" t="s">
        <v>21</v>
      </c>
      <c r="CP1" s="27" t="s">
        <v>37</v>
      </c>
      <c r="CQ1" s="27" t="s">
        <v>11</v>
      </c>
      <c r="CR1" s="27" t="s">
        <v>52</v>
      </c>
      <c r="CS1" s="27" t="s">
        <v>38</v>
      </c>
      <c r="CT1" s="27" t="s">
        <v>21</v>
      </c>
      <c r="CU1" s="27" t="s">
        <v>10</v>
      </c>
      <c r="CV1" s="27" t="s">
        <v>11</v>
      </c>
      <c r="CW1" s="27" t="s">
        <v>52</v>
      </c>
      <c r="CX1" s="27" t="s">
        <v>39</v>
      </c>
      <c r="CY1" s="27" t="s">
        <v>21</v>
      </c>
      <c r="CZ1" s="27" t="s">
        <v>10</v>
      </c>
      <c r="DA1" s="27" t="s">
        <v>11</v>
      </c>
      <c r="DB1" s="27" t="s">
        <v>52</v>
      </c>
      <c r="DC1" s="27" t="s">
        <v>40</v>
      </c>
      <c r="DD1" s="27" t="s">
        <v>21</v>
      </c>
      <c r="DE1" s="27" t="s">
        <v>10</v>
      </c>
      <c r="DF1" s="27" t="s">
        <v>11</v>
      </c>
      <c r="DG1" s="27" t="s">
        <v>52</v>
      </c>
      <c r="DH1" s="27" t="s">
        <v>41</v>
      </c>
      <c r="DI1" s="27" t="s">
        <v>21</v>
      </c>
      <c r="DJ1" s="27" t="s">
        <v>10</v>
      </c>
      <c r="DK1" s="27" t="s">
        <v>11</v>
      </c>
      <c r="DL1" s="27" t="s">
        <v>52</v>
      </c>
      <c r="DM1" s="27" t="s">
        <v>42</v>
      </c>
      <c r="DN1" s="27" t="s">
        <v>21</v>
      </c>
      <c r="DO1" s="27" t="s">
        <v>10</v>
      </c>
      <c r="DP1" s="27" t="s">
        <v>11</v>
      </c>
      <c r="DQ1" s="27" t="s">
        <v>52</v>
      </c>
      <c r="DR1" s="27" t="s">
        <v>43</v>
      </c>
      <c r="DS1" s="27" t="s">
        <v>21</v>
      </c>
      <c r="DT1" s="27" t="s">
        <v>10</v>
      </c>
      <c r="DU1" s="27" t="s">
        <v>11</v>
      </c>
      <c r="DV1" s="27" t="s">
        <v>52</v>
      </c>
      <c r="DW1" s="27" t="s">
        <v>44</v>
      </c>
      <c r="DX1" s="27" t="s">
        <v>21</v>
      </c>
      <c r="DY1" s="27" t="s">
        <v>10</v>
      </c>
      <c r="DZ1" s="27" t="s">
        <v>11</v>
      </c>
      <c r="EA1" s="27" t="s">
        <v>52</v>
      </c>
      <c r="EB1" s="27" t="s">
        <v>49</v>
      </c>
      <c r="EC1" s="27" t="s">
        <v>21</v>
      </c>
      <c r="ED1" s="27" t="s">
        <v>10</v>
      </c>
      <c r="EE1" s="27" t="s">
        <v>11</v>
      </c>
      <c r="EF1" s="27" t="s">
        <v>52</v>
      </c>
      <c r="EG1" s="27" t="s">
        <v>50</v>
      </c>
      <c r="EH1" s="27" t="s">
        <v>21</v>
      </c>
      <c r="EI1" s="27" t="s">
        <v>10</v>
      </c>
      <c r="EJ1" s="27" t="s">
        <v>11</v>
      </c>
      <c r="EK1" s="27" t="s">
        <v>52</v>
      </c>
      <c r="EL1" s="27" t="s">
        <v>51</v>
      </c>
      <c r="EM1" s="27" t="s">
        <v>21</v>
      </c>
      <c r="EN1" s="27" t="s">
        <v>10</v>
      </c>
      <c r="EO1" s="27" t="s">
        <v>11</v>
      </c>
      <c r="EP1" s="27" t="s">
        <v>52</v>
      </c>
      <c r="EQ1" s="27" t="s">
        <v>53</v>
      </c>
    </row>
    <row r="2" spans="1:147" x14ac:dyDescent="0.15">
      <c r="A2" s="27">
        <v>1</v>
      </c>
      <c r="B2" s="30" t="s">
        <v>134</v>
      </c>
      <c r="C2" s="30" t="s">
        <v>133</v>
      </c>
      <c r="D2" s="30" t="s">
        <v>125</v>
      </c>
      <c r="E2" s="30" t="s">
        <v>137</v>
      </c>
      <c r="F2" s="30" t="s">
        <v>126</v>
      </c>
      <c r="G2" s="30" t="s">
        <v>138</v>
      </c>
      <c r="H2" s="30"/>
      <c r="I2" s="30" t="s">
        <v>139</v>
      </c>
      <c r="J2" s="30"/>
      <c r="K2" s="33" t="s">
        <v>145</v>
      </c>
      <c r="L2" s="32"/>
      <c r="M2" s="30" t="s">
        <v>137</v>
      </c>
      <c r="N2" s="30" t="s">
        <v>141</v>
      </c>
      <c r="O2" s="30" t="s">
        <v>140</v>
      </c>
      <c r="P2" s="30" t="s">
        <v>142</v>
      </c>
      <c r="Q2" s="30" t="s">
        <v>135</v>
      </c>
      <c r="R2" s="30">
        <v>4</v>
      </c>
      <c r="S2" s="30" t="s">
        <v>58</v>
      </c>
      <c r="T2" s="30" t="s">
        <v>127</v>
      </c>
      <c r="U2" s="30" t="s">
        <v>128</v>
      </c>
      <c r="V2" s="30" t="s">
        <v>136</v>
      </c>
      <c r="W2" s="30">
        <v>5</v>
      </c>
      <c r="X2" s="30" t="s">
        <v>58</v>
      </c>
      <c r="Y2" s="30" t="s">
        <v>129</v>
      </c>
      <c r="Z2" s="30" t="s">
        <v>130</v>
      </c>
      <c r="AA2" s="30"/>
      <c r="AB2" s="30"/>
      <c r="AC2" s="30"/>
      <c r="AD2" s="30"/>
      <c r="AE2" s="30"/>
      <c r="AF2" s="30"/>
      <c r="AG2" s="30">
        <v>7</v>
      </c>
      <c r="AH2" s="30"/>
      <c r="AI2" s="30"/>
      <c r="AJ2" s="30"/>
      <c r="AK2" s="30"/>
      <c r="AL2" s="30">
        <v>8</v>
      </c>
      <c r="AM2" s="30"/>
      <c r="AN2" s="30"/>
      <c r="AO2" s="30"/>
      <c r="AP2" s="30"/>
      <c r="AQ2" s="30">
        <v>9</v>
      </c>
      <c r="AR2" s="30"/>
      <c r="AS2" s="30"/>
      <c r="AT2" s="30"/>
      <c r="AU2" s="30"/>
      <c r="AV2" s="30">
        <v>10</v>
      </c>
      <c r="AW2" s="30"/>
      <c r="AX2" s="30"/>
      <c r="AY2" s="30"/>
      <c r="AZ2" s="30"/>
      <c r="BA2" s="30">
        <v>11</v>
      </c>
      <c r="BB2" s="30"/>
      <c r="BC2" s="30"/>
      <c r="BD2" s="30"/>
      <c r="BE2" s="30"/>
      <c r="BF2" s="30">
        <v>12</v>
      </c>
      <c r="BG2" s="30"/>
      <c r="BH2" s="30"/>
      <c r="BI2" s="30"/>
      <c r="BJ2" s="30"/>
      <c r="BK2" s="30">
        <v>13</v>
      </c>
      <c r="BL2" s="30"/>
      <c r="BM2" s="30"/>
      <c r="BN2" s="30"/>
      <c r="BO2" s="30"/>
      <c r="BP2" s="30">
        <v>14</v>
      </c>
      <c r="BQ2" s="30"/>
      <c r="BR2" s="30"/>
      <c r="BS2" s="30"/>
      <c r="BT2" s="30"/>
      <c r="BU2" s="30">
        <v>15</v>
      </c>
      <c r="BV2" s="30"/>
      <c r="BW2" s="30"/>
      <c r="BX2" s="30"/>
      <c r="BY2" s="30"/>
      <c r="BZ2" s="30">
        <v>16</v>
      </c>
      <c r="CA2" s="30"/>
      <c r="CB2" s="30"/>
      <c r="CC2" s="30"/>
      <c r="CD2" s="30"/>
      <c r="CE2" s="30">
        <v>17</v>
      </c>
      <c r="CF2" s="30"/>
      <c r="CG2" s="30"/>
      <c r="CH2" s="30"/>
      <c r="CI2" s="30"/>
      <c r="CJ2" s="30">
        <v>18</v>
      </c>
      <c r="CK2" s="30"/>
      <c r="CL2" s="30"/>
      <c r="CM2" s="30"/>
      <c r="CN2" s="30"/>
      <c r="CO2" s="30">
        <v>19</v>
      </c>
      <c r="CP2" s="30"/>
      <c r="CQ2" s="30"/>
      <c r="CR2" s="30"/>
      <c r="CS2" s="30"/>
      <c r="CT2" s="30">
        <v>20</v>
      </c>
      <c r="CU2" s="30"/>
      <c r="CV2" s="30"/>
      <c r="CW2" s="30"/>
      <c r="CX2" s="30"/>
      <c r="CY2" s="30">
        <v>21</v>
      </c>
      <c r="CZ2" s="30"/>
      <c r="DA2" s="30"/>
      <c r="DB2" s="30"/>
      <c r="DC2" s="30"/>
      <c r="DD2" s="30">
        <v>22</v>
      </c>
      <c r="DE2" s="30"/>
      <c r="DF2" s="30"/>
      <c r="DG2" s="30"/>
      <c r="DH2" s="30"/>
      <c r="DI2" s="30">
        <v>23</v>
      </c>
      <c r="DJ2" s="30"/>
      <c r="DK2" s="30"/>
      <c r="DL2" s="30"/>
      <c r="DM2" s="30"/>
      <c r="DN2" s="30">
        <v>24</v>
      </c>
      <c r="DO2" s="30"/>
      <c r="DP2" s="30"/>
      <c r="DQ2" s="30"/>
      <c r="DR2" s="30"/>
      <c r="DS2" s="30">
        <v>25</v>
      </c>
      <c r="DT2" s="30"/>
      <c r="DU2" s="30"/>
      <c r="DV2" s="30"/>
      <c r="DW2" s="30"/>
      <c r="DX2" s="30">
        <v>26</v>
      </c>
      <c r="DY2" s="30"/>
      <c r="DZ2" s="30"/>
      <c r="EA2" s="30"/>
      <c r="EB2" s="30"/>
      <c r="EC2" s="30">
        <v>27</v>
      </c>
      <c r="ED2" s="30"/>
      <c r="EE2" s="30"/>
      <c r="EF2" s="30"/>
      <c r="EG2" s="30"/>
      <c r="EH2" s="30">
        <v>28</v>
      </c>
      <c r="EI2" s="30"/>
      <c r="EJ2" s="30"/>
      <c r="EK2" s="30"/>
      <c r="EL2" s="30"/>
      <c r="EM2" s="30">
        <v>29</v>
      </c>
      <c r="EN2" s="30"/>
      <c r="EO2" s="30"/>
      <c r="EP2" s="30"/>
      <c r="EQ2" s="30" t="s">
        <v>132</v>
      </c>
    </row>
    <row r="5" spans="1:147" x14ac:dyDescent="0.15">
      <c r="D5" s="5" t="s">
        <v>60</v>
      </c>
    </row>
    <row r="6" spans="1:147" x14ac:dyDescent="0.15">
      <c r="D6" s="5" t="s">
        <v>61</v>
      </c>
    </row>
    <row r="7" spans="1:147" x14ac:dyDescent="0.15">
      <c r="D7" s="5" t="s">
        <v>147</v>
      </c>
      <c r="BA7" s="4"/>
    </row>
    <row r="8" spans="1:147" x14ac:dyDescent="0.15">
      <c r="D8" s="5" t="s">
        <v>62</v>
      </c>
    </row>
    <row r="9" spans="1:147" x14ac:dyDescent="0.15">
      <c r="D9" s="5" t="s">
        <v>131</v>
      </c>
    </row>
    <row r="10" spans="1:147" x14ac:dyDescent="0.15">
      <c r="D10" s="5" t="s">
        <v>148</v>
      </c>
    </row>
    <row r="11" spans="1:147" x14ac:dyDescent="0.15">
      <c r="D11" s="5" t="s">
        <v>149</v>
      </c>
    </row>
    <row r="27" spans="19:20" x14ac:dyDescent="0.15">
      <c r="S27" s="5" t="s">
        <v>59</v>
      </c>
      <c r="T27" s="5" t="s">
        <v>64</v>
      </c>
    </row>
    <row r="28" spans="19:20" x14ac:dyDescent="0.15">
      <c r="S28" s="5" t="s">
        <v>54</v>
      </c>
      <c r="T28" s="5" t="s">
        <v>65</v>
      </c>
    </row>
    <row r="29" spans="19:20" x14ac:dyDescent="0.15">
      <c r="S29" s="5" t="s">
        <v>55</v>
      </c>
      <c r="T29" s="5" t="s">
        <v>66</v>
      </c>
    </row>
    <row r="30" spans="19:20" x14ac:dyDescent="0.15">
      <c r="S30" s="5" t="s">
        <v>56</v>
      </c>
      <c r="T30" s="5" t="s">
        <v>67</v>
      </c>
    </row>
    <row r="31" spans="19:20" x14ac:dyDescent="0.15">
      <c r="S31" s="5" t="s">
        <v>57</v>
      </c>
      <c r="T31" s="5" t="s">
        <v>68</v>
      </c>
    </row>
    <row r="32" spans="19:20" x14ac:dyDescent="0.15">
      <c r="S32" s="5" t="s">
        <v>58</v>
      </c>
      <c r="T32" s="5" t="s">
        <v>69</v>
      </c>
    </row>
    <row r="33" spans="20:20" x14ac:dyDescent="0.15">
      <c r="T33" s="5" t="s">
        <v>70</v>
      </c>
    </row>
    <row r="34" spans="20:20" x14ac:dyDescent="0.15">
      <c r="T34" s="5" t="s">
        <v>71</v>
      </c>
    </row>
    <row r="35" spans="20:20" x14ac:dyDescent="0.15">
      <c r="T35" s="5" t="s">
        <v>72</v>
      </c>
    </row>
    <row r="36" spans="20:20" x14ac:dyDescent="0.15">
      <c r="T36" s="5" t="s">
        <v>73</v>
      </c>
    </row>
    <row r="37" spans="20:20" x14ac:dyDescent="0.15">
      <c r="T37" s="5" t="s">
        <v>74</v>
      </c>
    </row>
    <row r="38" spans="20:20" x14ac:dyDescent="0.15">
      <c r="T38" s="5" t="s">
        <v>75</v>
      </c>
    </row>
    <row r="39" spans="20:20" x14ac:dyDescent="0.15">
      <c r="T39" s="5" t="s">
        <v>76</v>
      </c>
    </row>
    <row r="40" spans="20:20" x14ac:dyDescent="0.15">
      <c r="T40" s="5" t="s">
        <v>77</v>
      </c>
    </row>
    <row r="41" spans="20:20" x14ac:dyDescent="0.15">
      <c r="T41" s="5" t="s">
        <v>78</v>
      </c>
    </row>
    <row r="42" spans="20:20" x14ac:dyDescent="0.15">
      <c r="T42" s="5" t="s">
        <v>79</v>
      </c>
    </row>
    <row r="43" spans="20:20" x14ac:dyDescent="0.15">
      <c r="T43" s="5" t="s">
        <v>80</v>
      </c>
    </row>
    <row r="44" spans="20:20" x14ac:dyDescent="0.15">
      <c r="T44" s="5" t="s">
        <v>81</v>
      </c>
    </row>
    <row r="45" spans="20:20" x14ac:dyDescent="0.15">
      <c r="T45" s="5" t="s">
        <v>82</v>
      </c>
    </row>
    <row r="46" spans="20:20" x14ac:dyDescent="0.15">
      <c r="T46" s="5" t="s">
        <v>83</v>
      </c>
    </row>
    <row r="47" spans="20:20" x14ac:dyDescent="0.15">
      <c r="T47" s="5" t="s">
        <v>84</v>
      </c>
    </row>
    <row r="48" spans="20:20" x14ac:dyDescent="0.15">
      <c r="T48" s="5" t="s">
        <v>85</v>
      </c>
    </row>
    <row r="49" spans="20:20" x14ac:dyDescent="0.15">
      <c r="T49" s="5" t="s">
        <v>86</v>
      </c>
    </row>
    <row r="50" spans="20:20" x14ac:dyDescent="0.15">
      <c r="T50" s="5" t="s">
        <v>87</v>
      </c>
    </row>
    <row r="51" spans="20:20" x14ac:dyDescent="0.15">
      <c r="T51" s="5" t="s">
        <v>88</v>
      </c>
    </row>
    <row r="52" spans="20:20" x14ac:dyDescent="0.15">
      <c r="T52" s="5" t="s">
        <v>89</v>
      </c>
    </row>
    <row r="53" spans="20:20" x14ac:dyDescent="0.15">
      <c r="T53" s="5" t="s">
        <v>90</v>
      </c>
    </row>
    <row r="54" spans="20:20" x14ac:dyDescent="0.15">
      <c r="T54" s="5" t="s">
        <v>91</v>
      </c>
    </row>
    <row r="55" spans="20:20" x14ac:dyDescent="0.15">
      <c r="T55" s="5" t="s">
        <v>92</v>
      </c>
    </row>
    <row r="56" spans="20:20" x14ac:dyDescent="0.15">
      <c r="T56" s="5" t="s">
        <v>93</v>
      </c>
    </row>
    <row r="57" spans="20:20" x14ac:dyDescent="0.15">
      <c r="T57" s="5" t="s">
        <v>94</v>
      </c>
    </row>
    <row r="58" spans="20:20" x14ac:dyDescent="0.15">
      <c r="T58" s="5" t="s">
        <v>95</v>
      </c>
    </row>
    <row r="59" spans="20:20" x14ac:dyDescent="0.15">
      <c r="T59" s="5" t="s">
        <v>96</v>
      </c>
    </row>
    <row r="60" spans="20:20" x14ac:dyDescent="0.15">
      <c r="T60" s="5" t="s">
        <v>97</v>
      </c>
    </row>
    <row r="61" spans="20:20" x14ac:dyDescent="0.15">
      <c r="T61" s="5" t="s">
        <v>98</v>
      </c>
    </row>
    <row r="62" spans="20:20" x14ac:dyDescent="0.15">
      <c r="T62" s="5" t="s">
        <v>99</v>
      </c>
    </row>
    <row r="63" spans="20:20" x14ac:dyDescent="0.15">
      <c r="T63" s="5" t="s">
        <v>100</v>
      </c>
    </row>
    <row r="64" spans="20:20" x14ac:dyDescent="0.15">
      <c r="T64" s="5" t="s">
        <v>101</v>
      </c>
    </row>
    <row r="65" spans="20:20" x14ac:dyDescent="0.15">
      <c r="T65" s="5" t="s">
        <v>102</v>
      </c>
    </row>
    <row r="66" spans="20:20" x14ac:dyDescent="0.15">
      <c r="T66" s="5" t="s">
        <v>103</v>
      </c>
    </row>
    <row r="67" spans="20:20" x14ac:dyDescent="0.15">
      <c r="T67" s="5" t="s">
        <v>104</v>
      </c>
    </row>
    <row r="68" spans="20:20" x14ac:dyDescent="0.15">
      <c r="T68" s="5" t="s">
        <v>105</v>
      </c>
    </row>
    <row r="69" spans="20:20" x14ac:dyDescent="0.15">
      <c r="T69" s="5" t="s">
        <v>106</v>
      </c>
    </row>
    <row r="70" spans="20:20" x14ac:dyDescent="0.15">
      <c r="T70" s="5" t="s">
        <v>107</v>
      </c>
    </row>
    <row r="71" spans="20:20" x14ac:dyDescent="0.15">
      <c r="T71" s="5" t="s">
        <v>108</v>
      </c>
    </row>
    <row r="72" spans="20:20" x14ac:dyDescent="0.15">
      <c r="T72" s="5" t="s">
        <v>109</v>
      </c>
    </row>
    <row r="73" spans="20:20" x14ac:dyDescent="0.15">
      <c r="T73" s="5" t="s">
        <v>111</v>
      </c>
    </row>
    <row r="74" spans="20:20" x14ac:dyDescent="0.15">
      <c r="T74" s="5" t="s">
        <v>110</v>
      </c>
    </row>
    <row r="75" spans="20:20" x14ac:dyDescent="0.15">
      <c r="T75" s="5" t="s">
        <v>112</v>
      </c>
    </row>
    <row r="76" spans="20:20" x14ac:dyDescent="0.15">
      <c r="T76" s="5" t="s">
        <v>113</v>
      </c>
    </row>
    <row r="77" spans="20:20" x14ac:dyDescent="0.15">
      <c r="T77" s="5" t="s">
        <v>114</v>
      </c>
    </row>
    <row r="78" spans="20:20" x14ac:dyDescent="0.15">
      <c r="T78" s="5" t="s">
        <v>115</v>
      </c>
    </row>
    <row r="79" spans="20:20" x14ac:dyDescent="0.15">
      <c r="T79" s="5" t="s">
        <v>116</v>
      </c>
    </row>
    <row r="80" spans="20:20" x14ac:dyDescent="0.15">
      <c r="T80" s="5" t="s">
        <v>117</v>
      </c>
    </row>
    <row r="81" spans="20:20" x14ac:dyDescent="0.15">
      <c r="T81" s="5" t="s">
        <v>118</v>
      </c>
    </row>
    <row r="82" spans="20:20" x14ac:dyDescent="0.15">
      <c r="T82" s="5" t="s">
        <v>119</v>
      </c>
    </row>
    <row r="83" spans="20:20" x14ac:dyDescent="0.15">
      <c r="T83" s="5" t="s">
        <v>120</v>
      </c>
    </row>
    <row r="84" spans="20:20" x14ac:dyDescent="0.15">
      <c r="T84" s="5" t="s">
        <v>121</v>
      </c>
    </row>
    <row r="85" spans="20:20" x14ac:dyDescent="0.15">
      <c r="T85" s="5" t="s">
        <v>122</v>
      </c>
    </row>
    <row r="86" spans="20:20" x14ac:dyDescent="0.15">
      <c r="T86" s="5" t="s">
        <v>123</v>
      </c>
    </row>
    <row r="87" spans="20:20" x14ac:dyDescent="0.15">
      <c r="T87" s="5" t="s">
        <v>124</v>
      </c>
    </row>
  </sheetData>
  <phoneticPr fontId="1"/>
  <dataValidations count="2">
    <dataValidation type="list" allowBlank="1" showInputMessage="1" showErrorMessage="1" sqref="Y2 EO2 EJ2 EE2 DZ2 DU2 DP2 DK2 DF2 DA2 CV2 CQ2 CL2 CG2 CB2 BW2 BR2 BM2 BH2 BC2 AX2 AS2 AN2 AI2 AD2 T2">
      <formula1>$T$27:$T$87</formula1>
    </dataValidation>
    <dataValidation type="list" allowBlank="1" showInputMessage="1" showErrorMessage="1" sqref="S2 EN2 EI2 ED2 DY2 DT2 DO2 DJ2 DE2 CZ2 CU2 CP2 CK2 CF2 CA2 BV2 BQ2 BL2 BG2 BB2 AW2 AR2 AM2 AH2 AC2 X2">
      <formula1>$S$27:$S$32</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EQ87"/>
  <sheetViews>
    <sheetView workbookViewId="0">
      <pane xSplit="2" topLeftCell="DW1" activePane="topRight" state="frozenSplit"/>
      <selection pane="topRight" activeCell="EQ2" sqref="EQ2"/>
    </sheetView>
  </sheetViews>
  <sheetFormatPr defaultRowHeight="13.5" x14ac:dyDescent="0.15"/>
  <cols>
    <col min="1" max="1" width="4.5" style="5" bestFit="1" customWidth="1"/>
    <col min="2" max="2" width="24.25" style="5" bestFit="1" customWidth="1"/>
    <col min="3" max="3" width="25.75" style="5" bestFit="1" customWidth="1"/>
    <col min="4" max="4" width="9.5" style="5" bestFit="1" customWidth="1"/>
    <col min="5" max="5" width="11" style="5" bestFit="1" customWidth="1"/>
    <col min="6" max="6" width="15" style="5" bestFit="1" customWidth="1"/>
    <col min="7" max="7" width="6.5" style="5" bestFit="1" customWidth="1"/>
    <col min="8" max="8" width="5.25" style="5" bestFit="1" customWidth="1"/>
    <col min="9" max="9" width="6.5" style="5" bestFit="1" customWidth="1"/>
    <col min="10" max="10" width="5.25" style="5" bestFit="1" customWidth="1"/>
    <col min="11" max="11" width="8" style="5" customWidth="1"/>
    <col min="12" max="12" width="9" style="5"/>
    <col min="13" max="13" width="11" style="5" bestFit="1" customWidth="1"/>
    <col min="14" max="14" width="10.25" style="5" bestFit="1" customWidth="1"/>
    <col min="15" max="17" width="12.375" style="5" bestFit="1" customWidth="1"/>
    <col min="18" max="18" width="5.375" style="5" bestFit="1" customWidth="1"/>
    <col min="19" max="20" width="5.25" style="5" bestFit="1" customWidth="1"/>
    <col min="21" max="21" width="10.625" style="5" customWidth="1"/>
    <col min="22" max="22" width="12.375" style="5" bestFit="1" customWidth="1"/>
    <col min="23" max="23" width="5.375" style="5" bestFit="1" customWidth="1"/>
    <col min="24" max="25" width="5.25" style="5" bestFit="1" customWidth="1"/>
    <col min="26" max="26" width="10.625" style="5" customWidth="1"/>
    <col min="27" max="27" width="10.25" style="5" bestFit="1" customWidth="1"/>
    <col min="28" max="28" width="5.375" style="5" bestFit="1" customWidth="1"/>
    <col min="29" max="30" width="5.25" style="5" bestFit="1" customWidth="1"/>
    <col min="31" max="31" width="10.625" style="5" customWidth="1"/>
    <col min="32" max="32" width="12.375" style="5" bestFit="1" customWidth="1"/>
    <col min="33" max="33" width="5.375" style="5" bestFit="1" customWidth="1"/>
    <col min="34" max="35" width="5.25" style="5" bestFit="1" customWidth="1"/>
    <col min="36" max="36" width="10.625" style="5" customWidth="1"/>
    <col min="37" max="37" width="10.25" style="5" bestFit="1" customWidth="1"/>
    <col min="38" max="38" width="5.375" style="5" bestFit="1" customWidth="1"/>
    <col min="39" max="40" width="5.25" style="5" bestFit="1" customWidth="1"/>
    <col min="41" max="41" width="10.625" style="5" customWidth="1"/>
    <col min="42" max="42" width="12.375" style="5" bestFit="1" customWidth="1"/>
    <col min="43" max="43" width="5.375" style="5" customWidth="1"/>
    <col min="44" max="45" width="5.25" style="5" bestFit="1" customWidth="1"/>
    <col min="46" max="46" width="10.625" style="5" customWidth="1"/>
    <col min="47" max="47" width="12.375" style="5" bestFit="1" customWidth="1"/>
    <col min="48" max="48" width="5.375" style="5" bestFit="1" customWidth="1"/>
    <col min="49" max="50" width="5.25" style="5" bestFit="1" customWidth="1"/>
    <col min="51" max="51" width="10.625" style="5" customWidth="1"/>
    <col min="52" max="52" width="12.375" style="5" bestFit="1" customWidth="1"/>
    <col min="53" max="53" width="5.375" style="5" bestFit="1" customWidth="1"/>
    <col min="54" max="55" width="5.25" style="5" bestFit="1" customWidth="1"/>
    <col min="56" max="56" width="10.625" style="5" customWidth="1"/>
    <col min="57" max="57" width="12.375" style="5" bestFit="1" customWidth="1"/>
    <col min="58" max="58" width="5.375" style="5" bestFit="1" customWidth="1"/>
    <col min="59" max="59" width="5.25" style="5" bestFit="1" customWidth="1"/>
    <col min="60" max="60" width="5.25" style="5" customWidth="1"/>
    <col min="61" max="61" width="10.625" style="5" customWidth="1"/>
    <col min="62" max="62" width="12.375" style="5" bestFit="1" customWidth="1"/>
    <col min="63" max="63" width="5.375" style="5" bestFit="1" customWidth="1"/>
    <col min="64" max="65" width="5.25" style="5" bestFit="1" customWidth="1"/>
    <col min="66" max="66" width="10.625" style="5" customWidth="1"/>
    <col min="67" max="67" width="10.25" style="5" bestFit="1" customWidth="1"/>
    <col min="68" max="68" width="5.375" style="5" bestFit="1" customWidth="1"/>
    <col min="69" max="70" width="5.25" style="5" bestFit="1" customWidth="1"/>
    <col min="71" max="71" width="10.625" style="5" customWidth="1"/>
    <col min="72" max="72" width="10.25" style="5" bestFit="1" customWidth="1"/>
    <col min="73" max="73" width="5.375" style="5" bestFit="1" customWidth="1"/>
    <col min="74" max="75" width="5.25" style="5" bestFit="1" customWidth="1"/>
    <col min="76" max="76" width="10.625" style="5" customWidth="1"/>
    <col min="77" max="77" width="12.375" style="5" bestFit="1" customWidth="1"/>
    <col min="78" max="78" width="5.375" style="5" bestFit="1" customWidth="1"/>
    <col min="79" max="80" width="5.25" style="5" bestFit="1" customWidth="1"/>
    <col min="81" max="81" width="10.625" style="5" customWidth="1"/>
    <col min="82" max="82" width="10.25" style="5" bestFit="1" customWidth="1"/>
    <col min="83" max="83" width="5.375" style="5" bestFit="1" customWidth="1"/>
    <col min="84" max="84" width="5.25" style="5" bestFit="1" customWidth="1"/>
    <col min="85" max="85" width="5.25" style="5" customWidth="1"/>
    <col min="86" max="86" width="10.625" style="5" customWidth="1"/>
    <col min="87" max="87" width="10.25" style="5" bestFit="1" customWidth="1"/>
    <col min="88" max="88" width="5.375" style="5" bestFit="1" customWidth="1"/>
    <col min="89" max="90" width="5.25" style="5" bestFit="1" customWidth="1"/>
    <col min="91" max="91" width="10.625" style="5" customWidth="1"/>
    <col min="92" max="92" width="12.375" style="5" bestFit="1" customWidth="1"/>
    <col min="93" max="93" width="5.375" style="5" bestFit="1" customWidth="1"/>
    <col min="94" max="95" width="5.25" style="5" bestFit="1" customWidth="1"/>
    <col min="96" max="96" width="10.625" style="5" customWidth="1"/>
    <col min="97" max="97" width="11.5" style="5" customWidth="1"/>
    <col min="98" max="98" width="5.375" style="5" bestFit="1" customWidth="1"/>
    <col min="99" max="100" width="5.25" style="5" bestFit="1" customWidth="1"/>
    <col min="101" max="101" width="10.625" style="5" customWidth="1"/>
    <col min="102" max="102" width="11.375" style="5" customWidth="1"/>
    <col min="103" max="103" width="5.375" style="5" bestFit="1" customWidth="1"/>
    <col min="104" max="105" width="5.25" style="5" bestFit="1" customWidth="1"/>
    <col min="106" max="106" width="10.625" style="5" customWidth="1"/>
    <col min="107" max="107" width="9.625" style="5" customWidth="1"/>
    <col min="108" max="108" width="5.375" style="5" bestFit="1" customWidth="1"/>
    <col min="109" max="110" width="5.25" style="5" bestFit="1" customWidth="1"/>
    <col min="111" max="111" width="10.625" style="5" customWidth="1"/>
    <col min="112" max="112" width="7.25" style="5" bestFit="1" customWidth="1"/>
    <col min="113" max="113" width="5.375" style="5" bestFit="1" customWidth="1"/>
    <col min="114" max="115" width="5.25" style="5" bestFit="1" customWidth="1"/>
    <col min="116" max="116" width="10.625" style="5" customWidth="1"/>
    <col min="117" max="117" width="7.75" style="5" bestFit="1" customWidth="1"/>
    <col min="118" max="118" width="5.375" style="5" bestFit="1" customWidth="1"/>
    <col min="119" max="120" width="5.25" style="5" bestFit="1" customWidth="1"/>
    <col min="121" max="121" width="10.625" style="5" customWidth="1"/>
    <col min="122" max="122" width="7.75" style="5" bestFit="1" customWidth="1"/>
    <col min="123" max="123" width="5.375" style="5" bestFit="1" customWidth="1"/>
    <col min="124" max="125" width="5.25" style="5" bestFit="1" customWidth="1"/>
    <col min="126" max="126" width="10.625" style="5" customWidth="1"/>
    <col min="127" max="127" width="7.75" style="5" bestFit="1" customWidth="1"/>
    <col min="128" max="128" width="5.375" style="5" bestFit="1" customWidth="1"/>
    <col min="129" max="130" width="5.25" style="5" bestFit="1" customWidth="1"/>
    <col min="131" max="131" width="10.625" style="5" customWidth="1"/>
    <col min="132" max="132" width="7.5" style="5" bestFit="1" customWidth="1"/>
    <col min="133" max="133" width="5.375" style="5" bestFit="1" customWidth="1"/>
    <col min="134" max="135" width="5.25" style="5" bestFit="1" customWidth="1"/>
    <col min="136" max="136" width="10.625" style="5" customWidth="1"/>
    <col min="137" max="137" width="7.5" style="5" bestFit="1" customWidth="1"/>
    <col min="138" max="138" width="5.375" style="5" bestFit="1" customWidth="1"/>
    <col min="139" max="140" width="5.25" style="5" bestFit="1" customWidth="1"/>
    <col min="141" max="141" width="10.625" style="5" customWidth="1"/>
    <col min="142" max="142" width="7.5" style="5" bestFit="1" customWidth="1"/>
    <col min="143" max="143" width="5.375" style="5" bestFit="1" customWidth="1"/>
    <col min="144" max="145" width="5.25" style="5" bestFit="1" customWidth="1"/>
    <col min="146" max="146" width="10.625" style="5" customWidth="1"/>
    <col min="147" max="147" width="50.625" style="5" customWidth="1"/>
    <col min="148" max="16384" width="9" style="5"/>
  </cols>
  <sheetData>
    <row r="1" spans="1:147" x14ac:dyDescent="0.15">
      <c r="A1" s="27" t="s">
        <v>13</v>
      </c>
      <c r="B1" s="27" t="s">
        <v>45</v>
      </c>
      <c r="C1" s="27" t="s">
        <v>0</v>
      </c>
      <c r="D1" s="27" t="s">
        <v>14</v>
      </c>
      <c r="E1" s="27" t="s">
        <v>15</v>
      </c>
      <c r="F1" s="27" t="s">
        <v>16</v>
      </c>
      <c r="G1" s="27" t="s">
        <v>46</v>
      </c>
      <c r="H1" s="27"/>
      <c r="I1" s="27" t="s">
        <v>47</v>
      </c>
      <c r="J1" s="27"/>
      <c r="K1" s="27" t="s">
        <v>144</v>
      </c>
      <c r="L1" s="27"/>
      <c r="M1" s="27" t="s">
        <v>48</v>
      </c>
      <c r="N1" s="27" t="s">
        <v>17</v>
      </c>
      <c r="O1" s="27" t="s">
        <v>18</v>
      </c>
      <c r="P1" s="27" t="s">
        <v>19</v>
      </c>
      <c r="Q1" s="27" t="s">
        <v>20</v>
      </c>
      <c r="R1" s="27" t="s">
        <v>21</v>
      </c>
      <c r="S1" s="27" t="s">
        <v>10</v>
      </c>
      <c r="T1" s="27" t="s">
        <v>11</v>
      </c>
      <c r="U1" s="27" t="s">
        <v>52</v>
      </c>
      <c r="V1" s="27" t="s">
        <v>22</v>
      </c>
      <c r="W1" s="27" t="s">
        <v>21</v>
      </c>
      <c r="X1" s="27" t="s">
        <v>10</v>
      </c>
      <c r="Y1" s="27" t="s">
        <v>11</v>
      </c>
      <c r="Z1" s="27" t="s">
        <v>52</v>
      </c>
      <c r="AA1" s="27" t="s">
        <v>23</v>
      </c>
      <c r="AB1" s="27" t="s">
        <v>21</v>
      </c>
      <c r="AC1" s="27" t="s">
        <v>10</v>
      </c>
      <c r="AD1" s="27" t="s">
        <v>11</v>
      </c>
      <c r="AE1" s="27" t="s">
        <v>52</v>
      </c>
      <c r="AF1" s="27" t="s">
        <v>24</v>
      </c>
      <c r="AG1" s="27" t="s">
        <v>21</v>
      </c>
      <c r="AH1" s="27" t="s">
        <v>10</v>
      </c>
      <c r="AI1" s="27" t="s">
        <v>11</v>
      </c>
      <c r="AJ1" s="27" t="s">
        <v>52</v>
      </c>
      <c r="AK1" s="27" t="s">
        <v>25</v>
      </c>
      <c r="AL1" s="27" t="s">
        <v>21</v>
      </c>
      <c r="AM1" s="27" t="s">
        <v>10</v>
      </c>
      <c r="AN1" s="27" t="s">
        <v>11</v>
      </c>
      <c r="AO1" s="27" t="s">
        <v>52</v>
      </c>
      <c r="AP1" s="27" t="s">
        <v>26</v>
      </c>
      <c r="AQ1" s="27" t="s">
        <v>21</v>
      </c>
      <c r="AR1" s="27" t="s">
        <v>10</v>
      </c>
      <c r="AS1" s="27" t="s">
        <v>11</v>
      </c>
      <c r="AT1" s="27" t="s">
        <v>52</v>
      </c>
      <c r="AU1" s="27" t="s">
        <v>27</v>
      </c>
      <c r="AV1" s="27" t="s">
        <v>21</v>
      </c>
      <c r="AW1" s="27" t="s">
        <v>10</v>
      </c>
      <c r="AX1" s="27" t="s">
        <v>11</v>
      </c>
      <c r="AY1" s="27" t="s">
        <v>52</v>
      </c>
      <c r="AZ1" s="27" t="s">
        <v>28</v>
      </c>
      <c r="BA1" s="27" t="s">
        <v>21</v>
      </c>
      <c r="BB1" s="27" t="s">
        <v>10</v>
      </c>
      <c r="BC1" s="27" t="s">
        <v>11</v>
      </c>
      <c r="BD1" s="27" t="s">
        <v>52</v>
      </c>
      <c r="BE1" s="27" t="s">
        <v>29</v>
      </c>
      <c r="BF1" s="27" t="s">
        <v>21</v>
      </c>
      <c r="BG1" s="27" t="s">
        <v>10</v>
      </c>
      <c r="BH1" s="27" t="s">
        <v>11</v>
      </c>
      <c r="BI1" s="27" t="s">
        <v>52</v>
      </c>
      <c r="BJ1" s="27" t="s">
        <v>30</v>
      </c>
      <c r="BK1" s="27" t="s">
        <v>21</v>
      </c>
      <c r="BL1" s="27" t="s">
        <v>10</v>
      </c>
      <c r="BM1" s="27" t="s">
        <v>11</v>
      </c>
      <c r="BN1" s="27" t="s">
        <v>52</v>
      </c>
      <c r="BO1" s="27" t="s">
        <v>31</v>
      </c>
      <c r="BP1" s="27" t="s">
        <v>21</v>
      </c>
      <c r="BQ1" s="27" t="s">
        <v>10</v>
      </c>
      <c r="BR1" s="27" t="s">
        <v>11</v>
      </c>
      <c r="BS1" s="27" t="s">
        <v>52</v>
      </c>
      <c r="BT1" s="27" t="s">
        <v>32</v>
      </c>
      <c r="BU1" s="27" t="s">
        <v>21</v>
      </c>
      <c r="BV1" s="27" t="s">
        <v>10</v>
      </c>
      <c r="BW1" s="27" t="s">
        <v>11</v>
      </c>
      <c r="BX1" s="27" t="s">
        <v>52</v>
      </c>
      <c r="BY1" s="27" t="s">
        <v>33</v>
      </c>
      <c r="BZ1" s="27" t="s">
        <v>21</v>
      </c>
      <c r="CA1" s="27" t="s">
        <v>10</v>
      </c>
      <c r="CB1" s="27" t="s">
        <v>11</v>
      </c>
      <c r="CC1" s="27" t="s">
        <v>52</v>
      </c>
      <c r="CD1" s="27" t="s">
        <v>34</v>
      </c>
      <c r="CE1" s="27" t="s">
        <v>21</v>
      </c>
      <c r="CF1" s="27" t="s">
        <v>10</v>
      </c>
      <c r="CG1" s="27" t="s">
        <v>11</v>
      </c>
      <c r="CH1" s="27" t="s">
        <v>52</v>
      </c>
      <c r="CI1" s="27" t="s">
        <v>35</v>
      </c>
      <c r="CJ1" s="27" t="s">
        <v>21</v>
      </c>
      <c r="CK1" s="27" t="s">
        <v>10</v>
      </c>
      <c r="CL1" s="27" t="s">
        <v>11</v>
      </c>
      <c r="CM1" s="27" t="s">
        <v>52</v>
      </c>
      <c r="CN1" s="27" t="s">
        <v>36</v>
      </c>
      <c r="CO1" s="27" t="s">
        <v>21</v>
      </c>
      <c r="CP1" s="27" t="s">
        <v>37</v>
      </c>
      <c r="CQ1" s="27" t="s">
        <v>11</v>
      </c>
      <c r="CR1" s="27" t="s">
        <v>52</v>
      </c>
      <c r="CS1" s="27" t="s">
        <v>38</v>
      </c>
      <c r="CT1" s="27" t="s">
        <v>21</v>
      </c>
      <c r="CU1" s="27" t="s">
        <v>10</v>
      </c>
      <c r="CV1" s="27" t="s">
        <v>11</v>
      </c>
      <c r="CW1" s="27" t="s">
        <v>52</v>
      </c>
      <c r="CX1" s="27" t="s">
        <v>39</v>
      </c>
      <c r="CY1" s="27" t="s">
        <v>21</v>
      </c>
      <c r="CZ1" s="27" t="s">
        <v>10</v>
      </c>
      <c r="DA1" s="27" t="s">
        <v>11</v>
      </c>
      <c r="DB1" s="27" t="s">
        <v>52</v>
      </c>
      <c r="DC1" s="27" t="s">
        <v>40</v>
      </c>
      <c r="DD1" s="27" t="s">
        <v>21</v>
      </c>
      <c r="DE1" s="27" t="s">
        <v>10</v>
      </c>
      <c r="DF1" s="27" t="s">
        <v>11</v>
      </c>
      <c r="DG1" s="27" t="s">
        <v>52</v>
      </c>
      <c r="DH1" s="27" t="s">
        <v>41</v>
      </c>
      <c r="DI1" s="27" t="s">
        <v>21</v>
      </c>
      <c r="DJ1" s="27" t="s">
        <v>10</v>
      </c>
      <c r="DK1" s="27" t="s">
        <v>11</v>
      </c>
      <c r="DL1" s="27" t="s">
        <v>52</v>
      </c>
      <c r="DM1" s="27" t="s">
        <v>42</v>
      </c>
      <c r="DN1" s="27" t="s">
        <v>21</v>
      </c>
      <c r="DO1" s="27" t="s">
        <v>10</v>
      </c>
      <c r="DP1" s="27" t="s">
        <v>11</v>
      </c>
      <c r="DQ1" s="27" t="s">
        <v>52</v>
      </c>
      <c r="DR1" s="27" t="s">
        <v>43</v>
      </c>
      <c r="DS1" s="27" t="s">
        <v>21</v>
      </c>
      <c r="DT1" s="27" t="s">
        <v>10</v>
      </c>
      <c r="DU1" s="27" t="s">
        <v>11</v>
      </c>
      <c r="DV1" s="27" t="s">
        <v>52</v>
      </c>
      <c r="DW1" s="27" t="s">
        <v>44</v>
      </c>
      <c r="DX1" s="27" t="s">
        <v>21</v>
      </c>
      <c r="DY1" s="27" t="s">
        <v>10</v>
      </c>
      <c r="DZ1" s="27" t="s">
        <v>11</v>
      </c>
      <c r="EA1" s="27" t="s">
        <v>52</v>
      </c>
      <c r="EB1" s="27" t="s">
        <v>49</v>
      </c>
      <c r="EC1" s="27" t="s">
        <v>21</v>
      </c>
      <c r="ED1" s="27" t="s">
        <v>10</v>
      </c>
      <c r="EE1" s="27" t="s">
        <v>11</v>
      </c>
      <c r="EF1" s="27" t="s">
        <v>52</v>
      </c>
      <c r="EG1" s="27" t="s">
        <v>50</v>
      </c>
      <c r="EH1" s="27" t="s">
        <v>21</v>
      </c>
      <c r="EI1" s="27" t="s">
        <v>10</v>
      </c>
      <c r="EJ1" s="27" t="s">
        <v>11</v>
      </c>
      <c r="EK1" s="27" t="s">
        <v>52</v>
      </c>
      <c r="EL1" s="27" t="s">
        <v>51</v>
      </c>
      <c r="EM1" s="27" t="s">
        <v>21</v>
      </c>
      <c r="EN1" s="27" t="s">
        <v>10</v>
      </c>
      <c r="EO1" s="27" t="s">
        <v>11</v>
      </c>
      <c r="EP1" s="27" t="s">
        <v>52</v>
      </c>
      <c r="EQ1" s="27" t="s">
        <v>53</v>
      </c>
    </row>
    <row r="2" spans="1:147" x14ac:dyDescent="0.15">
      <c r="A2" s="27">
        <v>1</v>
      </c>
      <c r="B2" s="30" t="s">
        <v>150</v>
      </c>
      <c r="C2" s="30" t="s">
        <v>151</v>
      </c>
      <c r="D2" s="30" t="s">
        <v>152</v>
      </c>
      <c r="E2" s="30" t="s">
        <v>153</v>
      </c>
      <c r="F2" s="30" t="s">
        <v>154</v>
      </c>
      <c r="G2" s="30" t="s">
        <v>155</v>
      </c>
      <c r="H2" s="30"/>
      <c r="I2" s="30"/>
      <c r="J2" s="30"/>
      <c r="K2" s="30" t="s">
        <v>156</v>
      </c>
      <c r="L2" s="32"/>
      <c r="M2" s="30" t="s">
        <v>157</v>
      </c>
      <c r="N2" s="30" t="s">
        <v>158</v>
      </c>
      <c r="O2" s="30" t="s">
        <v>159</v>
      </c>
      <c r="P2" s="30"/>
      <c r="Q2" s="30" t="s">
        <v>160</v>
      </c>
      <c r="R2" s="30">
        <v>4</v>
      </c>
      <c r="S2" s="30" t="s">
        <v>58</v>
      </c>
      <c r="T2" s="30" t="s">
        <v>162</v>
      </c>
      <c r="U2" s="30"/>
      <c r="V2" s="30" t="s">
        <v>161</v>
      </c>
      <c r="W2" s="30">
        <v>5</v>
      </c>
      <c r="X2" s="30" t="s">
        <v>58</v>
      </c>
      <c r="Y2" s="30" t="s">
        <v>163</v>
      </c>
      <c r="Z2" s="30"/>
      <c r="AA2" s="30" t="s">
        <v>164</v>
      </c>
      <c r="AB2" s="30">
        <v>6</v>
      </c>
      <c r="AC2" s="30" t="s">
        <v>58</v>
      </c>
      <c r="AD2" s="30" t="s">
        <v>165</v>
      </c>
      <c r="AE2" s="30"/>
      <c r="AF2" s="30" t="s">
        <v>166</v>
      </c>
      <c r="AG2" s="30">
        <v>7</v>
      </c>
      <c r="AH2" s="30" t="s">
        <v>58</v>
      </c>
      <c r="AI2" s="30" t="s">
        <v>167</v>
      </c>
      <c r="AJ2" s="30"/>
      <c r="AK2" s="30" t="s">
        <v>168</v>
      </c>
      <c r="AL2" s="30">
        <v>8</v>
      </c>
      <c r="AM2" s="30" t="s">
        <v>58</v>
      </c>
      <c r="AN2" s="30" t="s">
        <v>169</v>
      </c>
      <c r="AO2" s="30"/>
      <c r="AP2" s="30" t="s">
        <v>170</v>
      </c>
      <c r="AQ2" s="30">
        <v>9</v>
      </c>
      <c r="AR2" s="30" t="s">
        <v>58</v>
      </c>
      <c r="AS2" s="30" t="s">
        <v>169</v>
      </c>
      <c r="AT2" s="30"/>
      <c r="AU2" s="30" t="s">
        <v>171</v>
      </c>
      <c r="AV2" s="30">
        <v>10</v>
      </c>
      <c r="AW2" s="30" t="s">
        <v>58</v>
      </c>
      <c r="AX2" s="30" t="s">
        <v>172</v>
      </c>
      <c r="AY2" s="30"/>
      <c r="AZ2" s="30" t="s">
        <v>173</v>
      </c>
      <c r="BA2" s="30">
        <v>11</v>
      </c>
      <c r="BB2" s="30" t="s">
        <v>58</v>
      </c>
      <c r="BC2" s="30" t="s">
        <v>172</v>
      </c>
      <c r="BD2" s="30"/>
      <c r="BE2" s="30" t="s">
        <v>174</v>
      </c>
      <c r="BF2" s="30">
        <v>12</v>
      </c>
      <c r="BG2" s="30" t="s">
        <v>57</v>
      </c>
      <c r="BH2" s="30" t="s">
        <v>167</v>
      </c>
      <c r="BI2" s="30"/>
      <c r="BJ2" s="30" t="s">
        <v>175</v>
      </c>
      <c r="BK2" s="30">
        <v>13</v>
      </c>
      <c r="BL2" s="30" t="s">
        <v>57</v>
      </c>
      <c r="BM2" s="30" t="s">
        <v>167</v>
      </c>
      <c r="BN2" s="30"/>
      <c r="BO2" s="30" t="s">
        <v>176</v>
      </c>
      <c r="BP2" s="30">
        <v>14</v>
      </c>
      <c r="BQ2" s="30" t="s">
        <v>57</v>
      </c>
      <c r="BR2" s="30" t="s">
        <v>167</v>
      </c>
      <c r="BS2" s="30"/>
      <c r="BT2" s="30" t="s">
        <v>177</v>
      </c>
      <c r="BU2" s="30">
        <v>15</v>
      </c>
      <c r="BV2" s="30" t="s">
        <v>56</v>
      </c>
      <c r="BW2" s="30" t="s">
        <v>178</v>
      </c>
      <c r="BX2" s="30"/>
      <c r="BY2" s="30" t="s">
        <v>179</v>
      </c>
      <c r="BZ2" s="30">
        <v>16</v>
      </c>
      <c r="CA2" s="30" t="s">
        <v>56</v>
      </c>
      <c r="CB2" s="30" t="s">
        <v>180</v>
      </c>
      <c r="CC2" s="30"/>
      <c r="CD2" s="30" t="s">
        <v>181</v>
      </c>
      <c r="CE2" s="30">
        <v>17</v>
      </c>
      <c r="CF2" s="30" t="s">
        <v>56</v>
      </c>
      <c r="CG2" s="30" t="s">
        <v>167</v>
      </c>
      <c r="CH2" s="30"/>
      <c r="CI2" s="30" t="s">
        <v>182</v>
      </c>
      <c r="CJ2" s="30">
        <v>18</v>
      </c>
      <c r="CK2" s="30" t="s">
        <v>56</v>
      </c>
      <c r="CL2" s="30" t="s">
        <v>183</v>
      </c>
      <c r="CM2" s="30"/>
      <c r="CN2" s="30"/>
      <c r="CO2" s="30">
        <v>19</v>
      </c>
      <c r="CP2" s="30"/>
      <c r="CQ2" s="30"/>
      <c r="CR2" s="30"/>
      <c r="CS2" s="30"/>
      <c r="CT2" s="30">
        <v>20</v>
      </c>
      <c r="CU2" s="30"/>
      <c r="CV2" s="30"/>
      <c r="CW2" s="30"/>
      <c r="CX2" s="30"/>
      <c r="CY2" s="30">
        <v>21</v>
      </c>
      <c r="CZ2" s="30"/>
      <c r="DA2" s="30"/>
      <c r="DB2" s="30"/>
      <c r="DC2" s="30"/>
      <c r="DD2" s="30">
        <v>22</v>
      </c>
      <c r="DE2" s="30"/>
      <c r="DF2" s="30"/>
      <c r="DG2" s="30"/>
      <c r="DH2" s="30"/>
      <c r="DI2" s="30">
        <v>23</v>
      </c>
      <c r="DJ2" s="30"/>
      <c r="DK2" s="30"/>
      <c r="DL2" s="30"/>
      <c r="DM2" s="30"/>
      <c r="DN2" s="30">
        <v>24</v>
      </c>
      <c r="DO2" s="30"/>
      <c r="DP2" s="30"/>
      <c r="DQ2" s="30"/>
      <c r="DR2" s="30"/>
      <c r="DS2" s="30">
        <v>25</v>
      </c>
      <c r="DT2" s="30"/>
      <c r="DU2" s="30"/>
      <c r="DV2" s="30"/>
      <c r="DW2" s="30"/>
      <c r="DX2" s="30">
        <v>26</v>
      </c>
      <c r="DY2" s="30"/>
      <c r="DZ2" s="30"/>
      <c r="EA2" s="30"/>
      <c r="EB2" s="30"/>
      <c r="EC2" s="30">
        <v>27</v>
      </c>
      <c r="ED2" s="30"/>
      <c r="EE2" s="30"/>
      <c r="EF2" s="30"/>
      <c r="EG2" s="30"/>
      <c r="EH2" s="30">
        <v>28</v>
      </c>
      <c r="EI2" s="30"/>
      <c r="EJ2" s="30"/>
      <c r="EK2" s="30"/>
      <c r="EL2" s="30"/>
      <c r="EM2" s="30">
        <v>29</v>
      </c>
      <c r="EN2" s="30"/>
      <c r="EO2" s="30"/>
      <c r="EP2" s="30"/>
      <c r="EQ2" s="30" t="s">
        <v>184</v>
      </c>
    </row>
    <row r="5" spans="1:147" x14ac:dyDescent="0.15">
      <c r="D5" s="5" t="s">
        <v>60</v>
      </c>
    </row>
    <row r="6" spans="1:147" x14ac:dyDescent="0.15">
      <c r="D6" s="5" t="s">
        <v>61</v>
      </c>
    </row>
    <row r="7" spans="1:147" x14ac:dyDescent="0.15">
      <c r="D7" s="5" t="s">
        <v>143</v>
      </c>
      <c r="BA7" s="4"/>
    </row>
    <row r="8" spans="1:147" x14ac:dyDescent="0.15">
      <c r="D8" s="5" t="s">
        <v>62</v>
      </c>
    </row>
    <row r="9" spans="1:147" x14ac:dyDescent="0.15">
      <c r="D9" s="5" t="s">
        <v>131</v>
      </c>
    </row>
    <row r="10" spans="1:147" x14ac:dyDescent="0.15">
      <c r="D10" s="5" t="s">
        <v>63</v>
      </c>
    </row>
    <row r="11" spans="1:147" x14ac:dyDescent="0.15">
      <c r="D11" s="5" t="s">
        <v>146</v>
      </c>
    </row>
    <row r="27" spans="19:20" x14ac:dyDescent="0.15">
      <c r="S27" s="5" t="s">
        <v>59</v>
      </c>
      <c r="T27" s="5" t="s">
        <v>64</v>
      </c>
    </row>
    <row r="28" spans="19:20" x14ac:dyDescent="0.15">
      <c r="S28" s="5" t="s">
        <v>54</v>
      </c>
      <c r="T28" s="5" t="s">
        <v>65</v>
      </c>
    </row>
    <row r="29" spans="19:20" x14ac:dyDescent="0.15">
      <c r="S29" s="5" t="s">
        <v>55</v>
      </c>
      <c r="T29" s="5" t="s">
        <v>66</v>
      </c>
    </row>
    <row r="30" spans="19:20" x14ac:dyDescent="0.15">
      <c r="S30" s="5" t="s">
        <v>56</v>
      </c>
      <c r="T30" s="5" t="s">
        <v>67</v>
      </c>
    </row>
    <row r="31" spans="19:20" x14ac:dyDescent="0.15">
      <c r="S31" s="5" t="s">
        <v>57</v>
      </c>
      <c r="T31" s="5" t="s">
        <v>68</v>
      </c>
    </row>
    <row r="32" spans="19:20" x14ac:dyDescent="0.15">
      <c r="S32" s="5" t="s">
        <v>58</v>
      </c>
      <c r="T32" s="5" t="s">
        <v>69</v>
      </c>
    </row>
    <row r="33" spans="20:20" x14ac:dyDescent="0.15">
      <c r="T33" s="5" t="s">
        <v>70</v>
      </c>
    </row>
    <row r="34" spans="20:20" x14ac:dyDescent="0.15">
      <c r="T34" s="5" t="s">
        <v>71</v>
      </c>
    </row>
    <row r="35" spans="20:20" x14ac:dyDescent="0.15">
      <c r="T35" s="5" t="s">
        <v>72</v>
      </c>
    </row>
    <row r="36" spans="20:20" x14ac:dyDescent="0.15">
      <c r="T36" s="5" t="s">
        <v>73</v>
      </c>
    </row>
    <row r="37" spans="20:20" x14ac:dyDescent="0.15">
      <c r="T37" s="5" t="s">
        <v>74</v>
      </c>
    </row>
    <row r="38" spans="20:20" x14ac:dyDescent="0.15">
      <c r="T38" s="5" t="s">
        <v>75</v>
      </c>
    </row>
    <row r="39" spans="20:20" x14ac:dyDescent="0.15">
      <c r="T39" s="5" t="s">
        <v>76</v>
      </c>
    </row>
    <row r="40" spans="20:20" x14ac:dyDescent="0.15">
      <c r="T40" s="5" t="s">
        <v>77</v>
      </c>
    </row>
    <row r="41" spans="20:20" x14ac:dyDescent="0.15">
      <c r="T41" s="5" t="s">
        <v>78</v>
      </c>
    </row>
    <row r="42" spans="20:20" x14ac:dyDescent="0.15">
      <c r="T42" s="5" t="s">
        <v>79</v>
      </c>
    </row>
    <row r="43" spans="20:20" x14ac:dyDescent="0.15">
      <c r="T43" s="5" t="s">
        <v>80</v>
      </c>
    </row>
    <row r="44" spans="20:20" x14ac:dyDescent="0.15">
      <c r="T44" s="5" t="s">
        <v>81</v>
      </c>
    </row>
    <row r="45" spans="20:20" x14ac:dyDescent="0.15">
      <c r="T45" s="5" t="s">
        <v>82</v>
      </c>
    </row>
    <row r="46" spans="20:20" x14ac:dyDescent="0.15">
      <c r="T46" s="5" t="s">
        <v>83</v>
      </c>
    </row>
    <row r="47" spans="20:20" x14ac:dyDescent="0.15">
      <c r="T47" s="5" t="s">
        <v>84</v>
      </c>
    </row>
    <row r="48" spans="20:20" x14ac:dyDescent="0.15">
      <c r="T48" s="5" t="s">
        <v>85</v>
      </c>
    </row>
    <row r="49" spans="20:20" x14ac:dyDescent="0.15">
      <c r="T49" s="5" t="s">
        <v>86</v>
      </c>
    </row>
    <row r="50" spans="20:20" x14ac:dyDescent="0.15">
      <c r="T50" s="5" t="s">
        <v>87</v>
      </c>
    </row>
    <row r="51" spans="20:20" x14ac:dyDescent="0.15">
      <c r="T51" s="5" t="s">
        <v>88</v>
      </c>
    </row>
    <row r="52" spans="20:20" x14ac:dyDescent="0.15">
      <c r="T52" s="5" t="s">
        <v>89</v>
      </c>
    </row>
    <row r="53" spans="20:20" x14ac:dyDescent="0.15">
      <c r="T53" s="5" t="s">
        <v>90</v>
      </c>
    </row>
    <row r="54" spans="20:20" x14ac:dyDescent="0.15">
      <c r="T54" s="5" t="s">
        <v>91</v>
      </c>
    </row>
    <row r="55" spans="20:20" x14ac:dyDescent="0.15">
      <c r="T55" s="5" t="s">
        <v>92</v>
      </c>
    </row>
    <row r="56" spans="20:20" x14ac:dyDescent="0.15">
      <c r="T56" s="5" t="s">
        <v>93</v>
      </c>
    </row>
    <row r="57" spans="20:20" x14ac:dyDescent="0.15">
      <c r="T57" s="5" t="s">
        <v>94</v>
      </c>
    </row>
    <row r="58" spans="20:20" x14ac:dyDescent="0.15">
      <c r="T58" s="5" t="s">
        <v>95</v>
      </c>
    </row>
    <row r="59" spans="20:20" x14ac:dyDescent="0.15">
      <c r="T59" s="5" t="s">
        <v>96</v>
      </c>
    </row>
    <row r="60" spans="20:20" x14ac:dyDescent="0.15">
      <c r="T60" s="5" t="s">
        <v>97</v>
      </c>
    </row>
    <row r="61" spans="20:20" x14ac:dyDescent="0.15">
      <c r="T61" s="5" t="s">
        <v>98</v>
      </c>
    </row>
    <row r="62" spans="20:20" x14ac:dyDescent="0.15">
      <c r="T62" s="5" t="s">
        <v>99</v>
      </c>
    </row>
    <row r="63" spans="20:20" x14ac:dyDescent="0.15">
      <c r="T63" s="5" t="s">
        <v>100</v>
      </c>
    </row>
    <row r="64" spans="20:20" x14ac:dyDescent="0.15">
      <c r="T64" s="5" t="s">
        <v>101</v>
      </c>
    </row>
    <row r="65" spans="20:20" x14ac:dyDescent="0.15">
      <c r="T65" s="5" t="s">
        <v>102</v>
      </c>
    </row>
    <row r="66" spans="20:20" x14ac:dyDescent="0.15">
      <c r="T66" s="5" t="s">
        <v>103</v>
      </c>
    </row>
    <row r="67" spans="20:20" x14ac:dyDescent="0.15">
      <c r="T67" s="5" t="s">
        <v>104</v>
      </c>
    </row>
    <row r="68" spans="20:20" x14ac:dyDescent="0.15">
      <c r="T68" s="5" t="s">
        <v>105</v>
      </c>
    </row>
    <row r="69" spans="20:20" x14ac:dyDescent="0.15">
      <c r="T69" s="5" t="s">
        <v>106</v>
      </c>
    </row>
    <row r="70" spans="20:20" x14ac:dyDescent="0.15">
      <c r="T70" s="5" t="s">
        <v>107</v>
      </c>
    </row>
    <row r="71" spans="20:20" x14ac:dyDescent="0.15">
      <c r="T71" s="5" t="s">
        <v>108</v>
      </c>
    </row>
    <row r="72" spans="20:20" x14ac:dyDescent="0.15">
      <c r="T72" s="5" t="s">
        <v>109</v>
      </c>
    </row>
    <row r="73" spans="20:20" x14ac:dyDescent="0.15">
      <c r="T73" s="5" t="s">
        <v>111</v>
      </c>
    </row>
    <row r="74" spans="20:20" x14ac:dyDescent="0.15">
      <c r="T74" s="5" t="s">
        <v>110</v>
      </c>
    </row>
    <row r="75" spans="20:20" x14ac:dyDescent="0.15">
      <c r="T75" s="5" t="s">
        <v>112</v>
      </c>
    </row>
    <row r="76" spans="20:20" x14ac:dyDescent="0.15">
      <c r="T76" s="5" t="s">
        <v>113</v>
      </c>
    </row>
    <row r="77" spans="20:20" x14ac:dyDescent="0.15">
      <c r="T77" s="5" t="s">
        <v>114</v>
      </c>
    </row>
    <row r="78" spans="20:20" x14ac:dyDescent="0.15">
      <c r="T78" s="5" t="s">
        <v>115</v>
      </c>
    </row>
    <row r="79" spans="20:20" x14ac:dyDescent="0.15">
      <c r="T79" s="5" t="s">
        <v>116</v>
      </c>
    </row>
    <row r="80" spans="20:20" x14ac:dyDescent="0.15">
      <c r="T80" s="5" t="s">
        <v>117</v>
      </c>
    </row>
    <row r="81" spans="20:20" x14ac:dyDescent="0.15">
      <c r="T81" s="5" t="s">
        <v>118</v>
      </c>
    </row>
    <row r="82" spans="20:20" x14ac:dyDescent="0.15">
      <c r="T82" s="5" t="s">
        <v>119</v>
      </c>
    </row>
    <row r="83" spans="20:20" x14ac:dyDescent="0.15">
      <c r="T83" s="5" t="s">
        <v>120</v>
      </c>
    </row>
    <row r="84" spans="20:20" x14ac:dyDescent="0.15">
      <c r="T84" s="5" t="s">
        <v>121</v>
      </c>
    </row>
    <row r="85" spans="20:20" x14ac:dyDescent="0.15">
      <c r="T85" s="5" t="s">
        <v>122</v>
      </c>
    </row>
    <row r="86" spans="20:20" x14ac:dyDescent="0.15">
      <c r="T86" s="5" t="s">
        <v>123</v>
      </c>
    </row>
    <row r="87" spans="20:20" x14ac:dyDescent="0.15">
      <c r="T87" s="5" t="s">
        <v>124</v>
      </c>
    </row>
  </sheetData>
  <phoneticPr fontId="1"/>
  <dataValidations count="2">
    <dataValidation type="list" allowBlank="1" showInputMessage="1" showErrorMessage="1" sqref="S2 X2 AC2 AH2 AM2 AR2 AW2 BB2 BG2 BL2 BQ2 BV2 CA2 CF2 CK2 CP2 CU2 CZ2 DE2 DJ2 DO2 DT2 DY2 ED2 EI2 EN2">
      <formula1>$S$27:$S$32</formula1>
    </dataValidation>
    <dataValidation type="list" allowBlank="1" showInputMessage="1" showErrorMessage="1" sqref="Y2 T2 AD2 AI2 AN2 AS2 AX2 BC2 BH2 BM2 BR2 BW2 CB2 CG2 CL2 CQ2 CV2 DA2 DF2 DK2 DP2 DU2 DZ2 EE2 EJ2 EO2">
      <formula1>$T$27:$T$87</formula1>
    </dataValidation>
  </dataValidations>
  <pageMargins left="0.78700000000000003" right="0.78700000000000003" top="0.98399999999999999" bottom="0.98399999999999999" header="0.51200000000000001" footer="0.51200000000000001"/>
  <pageSetup paperSize="9"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A26"/>
  <sheetViews>
    <sheetView tabSelected="1" zoomScaleNormal="100" zoomScaleSheetLayoutView="100" workbookViewId="0"/>
  </sheetViews>
  <sheetFormatPr defaultRowHeight="13.5" x14ac:dyDescent="0.15"/>
  <cols>
    <col min="1" max="1" width="4.875" style="5" customWidth="1"/>
    <col min="2" max="8" width="9" style="5"/>
    <col min="9" max="9" width="16.75" style="5" customWidth="1"/>
    <col min="10" max="10" width="9" style="5"/>
    <col min="11" max="11" width="9.25" style="5" bestFit="1" customWidth="1"/>
    <col min="12" max="19" width="9" style="5"/>
    <col min="20" max="20" width="10.5" style="5" customWidth="1"/>
    <col min="21" max="27" width="9.25" style="5" bestFit="1" customWidth="1"/>
    <col min="28" max="28" width="9" style="5"/>
    <col min="29" max="36" width="9.25" style="5" bestFit="1" customWidth="1"/>
    <col min="37" max="37" width="9" style="5"/>
    <col min="38" max="41" width="9.25" style="5" bestFit="1" customWidth="1"/>
    <col min="42" max="42" width="9.125" style="5" customWidth="1"/>
    <col min="43" max="44" width="9.25" style="5" bestFit="1" customWidth="1"/>
    <col min="45" max="45" width="9.125" style="5" bestFit="1" customWidth="1"/>
    <col min="46" max="46" width="9" style="5"/>
    <col min="47" max="50" width="9.25" style="5" bestFit="1" customWidth="1"/>
    <col min="51" max="53" width="9.375" style="5" bestFit="1" customWidth="1"/>
    <col min="54" max="54" width="9.125" style="5" bestFit="1" customWidth="1"/>
    <col min="55" max="55" width="9" style="5"/>
    <col min="56" max="56" width="10.375" style="5" customWidth="1"/>
    <col min="57" max="57" width="9.75" style="5" bestFit="1" customWidth="1"/>
    <col min="58" max="60" width="9.125" style="5" bestFit="1" customWidth="1"/>
    <col min="61" max="61" width="9.25" style="5" bestFit="1" customWidth="1"/>
    <col min="62" max="62" width="11.75" style="5" bestFit="1" customWidth="1"/>
    <col min="63" max="63" width="9.125" style="5" bestFit="1" customWidth="1"/>
    <col min="64" max="16384" width="9" style="5"/>
  </cols>
  <sheetData>
    <row r="1" spans="1:53" ht="12.75" customHeight="1" thickBot="1" x14ac:dyDescent="0.25">
      <c r="A1" s="22"/>
      <c r="B1" s="22"/>
      <c r="C1" s="22"/>
      <c r="D1" s="23"/>
      <c r="E1" s="23"/>
      <c r="F1" s="23"/>
      <c r="G1" s="23"/>
      <c r="H1" s="23"/>
      <c r="I1" s="23"/>
      <c r="K1" s="3"/>
      <c r="L1" s="3"/>
      <c r="M1" s="18"/>
      <c r="N1" s="17"/>
      <c r="O1" s="3"/>
      <c r="P1" s="3"/>
      <c r="Q1" s="18"/>
      <c r="R1" s="4"/>
      <c r="S1" s="17"/>
      <c r="T1" s="3"/>
      <c r="U1" s="3"/>
      <c r="V1" s="18"/>
      <c r="W1" s="17"/>
      <c r="X1" s="3"/>
      <c r="Y1" s="3"/>
      <c r="Z1" s="18"/>
      <c r="AA1" s="4"/>
      <c r="AB1" s="3"/>
      <c r="AC1" s="3"/>
      <c r="AD1" s="3"/>
      <c r="AE1" s="3"/>
      <c r="AF1" s="3"/>
      <c r="AG1" s="4"/>
      <c r="AH1" s="2"/>
      <c r="AI1" s="4"/>
      <c r="AJ1" s="4"/>
      <c r="AK1" s="4"/>
      <c r="AL1" s="4"/>
      <c r="AM1" s="4"/>
      <c r="AN1" s="4"/>
      <c r="AO1" s="4"/>
      <c r="AP1" s="4"/>
      <c r="AQ1" s="4"/>
      <c r="AR1" s="4"/>
      <c r="AS1" s="4"/>
      <c r="AT1" s="4"/>
      <c r="AU1" s="4"/>
      <c r="AV1" s="4"/>
      <c r="AW1" s="4"/>
      <c r="AX1" s="4"/>
      <c r="AY1" s="4"/>
      <c r="AZ1" s="4"/>
      <c r="BA1" s="4"/>
    </row>
    <row r="2" spans="1:53" ht="17.45" customHeight="1" thickBot="1" x14ac:dyDescent="0.25">
      <c r="A2" s="24"/>
      <c r="B2" s="40" t="s">
        <v>1</v>
      </c>
      <c r="C2" s="42"/>
      <c r="D2" s="34">
        <v>1</v>
      </c>
      <c r="E2" s="56" t="str">
        <f>VLOOKUP(D2,入力用シート!$A$2:$EO$2,2)</f>
        <v>栃尾ウィザーズ</v>
      </c>
      <c r="F2" s="56"/>
      <c r="G2" s="56"/>
      <c r="H2" s="56"/>
      <c r="I2" s="57"/>
      <c r="J2" s="4"/>
      <c r="K2" s="4"/>
      <c r="L2" s="4"/>
      <c r="M2" s="4"/>
      <c r="N2" s="4"/>
      <c r="O2" s="4"/>
      <c r="P2" s="4"/>
      <c r="Q2" s="4"/>
      <c r="R2" s="4"/>
      <c r="S2" s="13"/>
      <c r="T2" s="4"/>
      <c r="U2" s="4"/>
      <c r="V2" s="4"/>
      <c r="W2" s="4"/>
      <c r="X2" s="4"/>
      <c r="Y2" s="4"/>
      <c r="Z2" s="4"/>
      <c r="AA2" s="4"/>
      <c r="AB2" s="3"/>
      <c r="AC2" s="3"/>
      <c r="AD2" s="11"/>
      <c r="AE2" s="9"/>
      <c r="AF2" s="2"/>
      <c r="AG2" s="2"/>
      <c r="AH2" s="4"/>
      <c r="AI2" s="4"/>
      <c r="AJ2" s="4"/>
      <c r="AK2" s="4"/>
      <c r="AL2" s="2"/>
      <c r="AM2" s="2"/>
      <c r="AN2" s="11"/>
      <c r="AO2" s="4"/>
      <c r="AP2" s="2"/>
      <c r="AQ2" s="2"/>
      <c r="AR2" s="11"/>
      <c r="AS2" s="4"/>
      <c r="AT2" s="4"/>
      <c r="AU2" s="2"/>
      <c r="AV2" s="2"/>
      <c r="AW2" s="11"/>
      <c r="AX2" s="4"/>
      <c r="AY2" s="2"/>
      <c r="AZ2" s="2"/>
      <c r="BA2" s="11"/>
    </row>
    <row r="3" spans="1:53" ht="17.45" customHeight="1" thickBot="1" x14ac:dyDescent="0.25">
      <c r="A3" s="24"/>
      <c r="B3" s="40" t="s">
        <v>2</v>
      </c>
      <c r="C3" s="42"/>
      <c r="D3" s="43" t="str">
        <f>VLOOKUP(D2,入力用シート!$A$2:$EO$2,13)</f>
        <v>諸橋　裕哉</v>
      </c>
      <c r="E3" s="44"/>
      <c r="F3" s="44"/>
      <c r="G3" s="40" t="s">
        <v>3</v>
      </c>
      <c r="H3" s="41"/>
      <c r="I3" s="42"/>
      <c r="J3" s="4"/>
      <c r="K3" s="4"/>
      <c r="L3" s="4"/>
      <c r="M3" s="4"/>
      <c r="N3" s="13"/>
      <c r="O3" s="4"/>
      <c r="P3" s="4"/>
      <c r="Q3" s="4"/>
      <c r="R3" s="4"/>
      <c r="S3" s="13"/>
      <c r="T3" s="4"/>
      <c r="U3" s="4"/>
      <c r="V3" s="4"/>
      <c r="W3" s="13"/>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row>
    <row r="4" spans="1:53" ht="17.45" customHeight="1" thickBot="1" x14ac:dyDescent="0.2">
      <c r="A4" s="24"/>
      <c r="B4" s="40" t="s">
        <v>4</v>
      </c>
      <c r="C4" s="42"/>
      <c r="D4" s="43" t="str">
        <f>VLOOKUP(D2,入力用シート!$A$2:$EO$2,14)</f>
        <v>川上　剛</v>
      </c>
      <c r="E4" s="44"/>
      <c r="F4" s="44"/>
      <c r="G4" s="47" t="str">
        <f>VLOOKUP(D2,入力用シート!$A$2:$EQ$2,147)</f>
        <v>「ディフェンスを頑張り、走れるチーム！」を目指し、日頃の練習の成果がひとつでも多く出せるよう、大きな声を出して頑張ります！！</v>
      </c>
      <c r="H4" s="48"/>
      <c r="I4" s="49"/>
      <c r="J4" s="4"/>
      <c r="K4" s="3"/>
      <c r="L4" s="3"/>
      <c r="M4" s="18"/>
      <c r="N4" s="17"/>
      <c r="O4" s="3"/>
      <c r="P4" s="3"/>
      <c r="Q4" s="18"/>
      <c r="R4" s="4"/>
      <c r="S4" s="17"/>
      <c r="T4" s="3"/>
      <c r="U4" s="3"/>
      <c r="V4" s="18"/>
      <c r="W4" s="17"/>
      <c r="X4" s="3"/>
      <c r="Y4" s="3"/>
      <c r="Z4" s="18"/>
      <c r="AA4" s="4"/>
      <c r="AB4" s="3"/>
      <c r="AC4" s="3"/>
      <c r="AD4" s="1"/>
      <c r="AE4" s="2"/>
      <c r="AF4" s="4"/>
      <c r="AG4" s="4"/>
      <c r="AH4" s="4"/>
      <c r="AI4" s="4"/>
      <c r="AJ4" s="4"/>
      <c r="AK4" s="4"/>
      <c r="AL4" s="3"/>
      <c r="AM4" s="3"/>
      <c r="AN4" s="11"/>
      <c r="AO4" s="4"/>
      <c r="AP4" s="4"/>
      <c r="AQ4" s="4"/>
      <c r="AR4" s="4"/>
      <c r="AS4" s="4"/>
      <c r="AT4" s="4"/>
      <c r="AU4" s="3"/>
      <c r="AV4" s="3"/>
      <c r="AW4" s="11"/>
      <c r="AX4" s="4"/>
      <c r="AY4" s="4"/>
      <c r="AZ4" s="4"/>
      <c r="BA4" s="4"/>
    </row>
    <row r="5" spans="1:53" ht="17.45" customHeight="1" thickBot="1" x14ac:dyDescent="0.2">
      <c r="A5" s="24"/>
      <c r="B5" s="40" t="s">
        <v>5</v>
      </c>
      <c r="C5" s="42"/>
      <c r="D5" s="43" t="str">
        <f>VLOOKUP(D2,入力用シート!$A$2:$EO$2,15)</f>
        <v>波形　茜</v>
      </c>
      <c r="E5" s="44"/>
      <c r="F5" s="44"/>
      <c r="G5" s="50"/>
      <c r="H5" s="51"/>
      <c r="I5" s="52"/>
      <c r="J5" s="3"/>
      <c r="K5" s="15"/>
      <c r="L5" s="10"/>
      <c r="M5" s="11"/>
      <c r="N5" s="4"/>
      <c r="O5" s="15"/>
      <c r="P5" s="10"/>
      <c r="Q5" s="11"/>
      <c r="R5" s="4"/>
      <c r="S5" s="4"/>
      <c r="T5" s="15"/>
      <c r="U5" s="10"/>
      <c r="V5" s="11"/>
      <c r="W5" s="4"/>
      <c r="X5" s="15"/>
      <c r="Y5" s="10"/>
      <c r="Z5" s="11"/>
      <c r="AA5" s="2"/>
      <c r="AB5" s="3"/>
      <c r="AC5" s="3"/>
      <c r="AD5" s="3"/>
      <c r="AE5" s="2"/>
      <c r="AF5" s="4"/>
      <c r="AG5" s="4"/>
      <c r="AH5" s="4"/>
      <c r="AI5" s="4"/>
      <c r="AJ5" s="4"/>
      <c r="AK5" s="4"/>
      <c r="AL5" s="15"/>
      <c r="AM5" s="10"/>
      <c r="AN5" s="11"/>
      <c r="AO5" s="4"/>
      <c r="AP5" s="4"/>
      <c r="AQ5" s="4"/>
      <c r="AR5" s="4"/>
      <c r="AS5" s="4"/>
      <c r="AT5" s="4"/>
      <c r="AU5" s="15"/>
      <c r="AV5" s="10"/>
      <c r="AW5" s="11"/>
      <c r="AX5" s="4"/>
      <c r="AY5" s="4"/>
      <c r="AZ5" s="4"/>
      <c r="BA5" s="4"/>
    </row>
    <row r="6" spans="1:53" ht="17.45" customHeight="1" thickBot="1" x14ac:dyDescent="0.2">
      <c r="A6" s="24"/>
      <c r="B6" s="40" t="s">
        <v>6</v>
      </c>
      <c r="C6" s="42"/>
      <c r="D6" s="43">
        <f>VLOOKUP(D2,入力用シート!$A$2:$EO$2,16)</f>
        <v>0</v>
      </c>
      <c r="E6" s="44"/>
      <c r="F6" s="44"/>
      <c r="G6" s="50"/>
      <c r="H6" s="51"/>
      <c r="I6" s="52"/>
      <c r="J6" s="4"/>
      <c r="K6" s="15"/>
      <c r="L6" s="10"/>
      <c r="M6" s="11"/>
      <c r="N6" s="4"/>
      <c r="O6" s="15"/>
      <c r="P6" s="10"/>
      <c r="Q6" s="11"/>
      <c r="R6" s="4"/>
      <c r="S6" s="4"/>
      <c r="T6" s="15"/>
      <c r="U6" s="10"/>
      <c r="V6" s="11"/>
      <c r="W6" s="4"/>
      <c r="X6" s="15"/>
      <c r="Y6" s="10"/>
      <c r="Z6" s="11"/>
      <c r="AA6" s="3"/>
      <c r="AB6" s="3"/>
      <c r="AC6" s="3"/>
      <c r="AD6" s="3"/>
      <c r="AE6" s="3"/>
      <c r="AF6" s="4"/>
      <c r="AG6" s="4"/>
      <c r="AH6" s="2"/>
      <c r="AI6" s="4"/>
      <c r="AJ6" s="4"/>
      <c r="AK6" s="4"/>
      <c r="AL6" s="15"/>
      <c r="AM6" s="10"/>
      <c r="AN6" s="11"/>
      <c r="AO6" s="4"/>
      <c r="AP6" s="4"/>
      <c r="AQ6" s="4"/>
      <c r="AR6" s="4"/>
      <c r="AS6" s="4"/>
      <c r="AT6" s="4"/>
      <c r="AU6" s="15"/>
      <c r="AV6" s="10"/>
      <c r="AW6" s="11"/>
      <c r="AX6" s="4"/>
      <c r="AY6" s="4"/>
      <c r="AZ6" s="4"/>
      <c r="BA6" s="4"/>
    </row>
    <row r="7" spans="1:53" ht="17.45" customHeight="1" thickBot="1" x14ac:dyDescent="0.2">
      <c r="A7" s="24"/>
      <c r="B7" s="40" t="s">
        <v>7</v>
      </c>
      <c r="C7" s="42"/>
      <c r="D7" s="43" t="str">
        <f>VLOOKUP(D2,入力用シート!$A$2:$EO$2,7)</f>
        <v>川上　剛</v>
      </c>
      <c r="E7" s="44"/>
      <c r="F7" s="44"/>
      <c r="G7" s="50"/>
      <c r="H7" s="51"/>
      <c r="I7" s="52"/>
      <c r="J7" s="4"/>
      <c r="K7" s="10"/>
      <c r="L7" s="10"/>
      <c r="M7" s="11"/>
      <c r="N7" s="7"/>
      <c r="O7" s="10"/>
      <c r="P7" s="10"/>
      <c r="Q7" s="11"/>
      <c r="R7" s="4"/>
      <c r="S7" s="7"/>
      <c r="T7" s="10"/>
      <c r="U7" s="10"/>
      <c r="V7" s="11"/>
      <c r="W7" s="7"/>
      <c r="X7" s="10"/>
      <c r="Y7" s="10"/>
      <c r="Z7" s="11"/>
      <c r="AA7" s="3"/>
      <c r="AB7" s="3"/>
      <c r="AC7" s="3"/>
      <c r="AD7" s="3"/>
      <c r="AE7" s="3"/>
      <c r="AF7" s="3"/>
      <c r="AG7" s="4"/>
      <c r="AH7" s="4"/>
      <c r="AI7" s="4"/>
      <c r="AJ7" s="4"/>
      <c r="AK7" s="7"/>
      <c r="AL7" s="10"/>
      <c r="AM7" s="10"/>
      <c r="AN7" s="11"/>
      <c r="AO7" s="4"/>
      <c r="AP7" s="4"/>
      <c r="AQ7" s="4"/>
      <c r="AR7" s="4"/>
      <c r="AS7" s="4"/>
      <c r="AT7" s="7"/>
      <c r="AU7" s="10"/>
      <c r="AV7" s="10"/>
      <c r="AW7" s="11"/>
      <c r="AX7" s="4"/>
      <c r="AY7" s="4"/>
      <c r="AZ7" s="4"/>
      <c r="BA7" s="4"/>
    </row>
    <row r="8" spans="1:53" ht="17.45" customHeight="1" thickBot="1" x14ac:dyDescent="0.2">
      <c r="A8" s="24"/>
      <c r="B8" s="40" t="s">
        <v>7</v>
      </c>
      <c r="C8" s="42"/>
      <c r="D8" s="43">
        <f>VLOOKUP(D2,入力用シート!$A$2:$EO$2,9)</f>
        <v>0</v>
      </c>
      <c r="E8" s="44"/>
      <c r="F8" s="44"/>
      <c r="G8" s="50"/>
      <c r="H8" s="51"/>
      <c r="I8" s="52"/>
      <c r="J8" s="4"/>
      <c r="K8" s="16"/>
      <c r="L8" s="10"/>
      <c r="M8" s="11"/>
      <c r="N8" s="4"/>
      <c r="O8" s="16"/>
      <c r="P8" s="10"/>
      <c r="Q8" s="11"/>
      <c r="R8" s="4"/>
      <c r="S8" s="4"/>
      <c r="T8" s="16"/>
      <c r="U8" s="10"/>
      <c r="V8" s="11"/>
      <c r="W8" s="4"/>
      <c r="X8" s="16"/>
      <c r="Y8" s="10"/>
      <c r="Z8" s="11"/>
      <c r="AA8" s="3"/>
      <c r="AB8" s="3"/>
      <c r="AC8" s="3"/>
      <c r="AD8" s="3"/>
      <c r="AE8" s="3"/>
      <c r="AF8" s="4"/>
      <c r="AG8" s="4"/>
      <c r="AH8" s="4"/>
      <c r="AI8" s="4"/>
      <c r="AJ8" s="4"/>
      <c r="AK8" s="4"/>
      <c r="AL8" s="16"/>
      <c r="AM8" s="10"/>
      <c r="AN8" s="11"/>
      <c r="AO8" s="4"/>
      <c r="AP8" s="4"/>
      <c r="AQ8" s="4"/>
      <c r="AR8" s="4"/>
      <c r="AS8" s="4"/>
      <c r="AT8" s="4"/>
      <c r="AU8" s="16"/>
      <c r="AV8" s="10"/>
      <c r="AW8" s="11"/>
      <c r="AX8" s="4"/>
      <c r="AY8" s="4"/>
      <c r="AZ8" s="4"/>
      <c r="BA8" s="4"/>
    </row>
    <row r="9" spans="1:53" ht="17.45" customHeight="1" thickBot="1" x14ac:dyDescent="0.2">
      <c r="A9" s="24"/>
      <c r="B9" s="40" t="s">
        <v>144</v>
      </c>
      <c r="C9" s="42"/>
      <c r="D9" s="43" t="str">
        <f>VLOOKUP(D2,入力用シート!$A$2:$EO$2,11)</f>
        <v>○</v>
      </c>
      <c r="E9" s="44"/>
      <c r="F9" s="44"/>
      <c r="G9" s="53"/>
      <c r="H9" s="54"/>
      <c r="I9" s="55"/>
      <c r="J9" s="4"/>
      <c r="K9" s="16"/>
      <c r="L9" s="10"/>
      <c r="M9" s="11"/>
      <c r="N9" s="4"/>
      <c r="O9" s="16"/>
      <c r="P9" s="10"/>
      <c r="Q9" s="11"/>
      <c r="R9" s="4"/>
      <c r="S9" s="4"/>
      <c r="T9" s="16"/>
      <c r="U9" s="10"/>
      <c r="V9" s="11"/>
      <c r="W9" s="4"/>
      <c r="X9" s="16"/>
      <c r="Y9" s="10"/>
      <c r="Z9" s="11"/>
      <c r="AA9" s="3"/>
      <c r="AB9" s="3"/>
      <c r="AC9" s="3"/>
      <c r="AD9" s="3"/>
      <c r="AE9" s="3"/>
      <c r="AF9" s="4"/>
      <c r="AG9" s="4"/>
      <c r="AH9" s="4"/>
      <c r="AI9" s="4"/>
      <c r="AJ9" s="4"/>
      <c r="AK9" s="4"/>
      <c r="AL9" s="16"/>
      <c r="AM9" s="10"/>
      <c r="AN9" s="11"/>
      <c r="AO9" s="4"/>
      <c r="AP9" s="4"/>
      <c r="AQ9" s="4"/>
      <c r="AR9" s="4"/>
      <c r="AS9" s="4"/>
      <c r="AT9" s="4"/>
      <c r="AU9" s="16"/>
      <c r="AV9" s="10"/>
      <c r="AW9" s="11"/>
      <c r="AX9" s="4"/>
      <c r="AY9" s="4"/>
      <c r="AZ9" s="4"/>
      <c r="BA9" s="4"/>
    </row>
    <row r="10" spans="1:53" ht="17.45" customHeight="1" thickBot="1" x14ac:dyDescent="0.2">
      <c r="A10" s="24"/>
      <c r="B10" s="26" t="s">
        <v>8</v>
      </c>
      <c r="C10" s="40" t="s">
        <v>9</v>
      </c>
      <c r="D10" s="42"/>
      <c r="E10" s="25" t="s">
        <v>10</v>
      </c>
      <c r="F10" s="25" t="s">
        <v>11</v>
      </c>
      <c r="G10" s="40" t="s">
        <v>12</v>
      </c>
      <c r="H10" s="45"/>
      <c r="I10" s="46"/>
      <c r="J10" s="4"/>
      <c r="K10" s="16"/>
      <c r="L10" s="10"/>
      <c r="M10" s="11"/>
      <c r="N10" s="2"/>
      <c r="O10" s="16"/>
      <c r="P10" s="10"/>
      <c r="Q10" s="11"/>
      <c r="R10" s="4"/>
      <c r="S10" s="4"/>
      <c r="T10" s="16"/>
      <c r="U10" s="10"/>
      <c r="V10" s="11"/>
      <c r="W10" s="2"/>
      <c r="X10" s="16"/>
      <c r="Y10" s="10"/>
      <c r="Z10" s="11"/>
      <c r="AA10" s="2"/>
      <c r="AB10" s="3"/>
      <c r="AC10" s="3"/>
      <c r="AD10" s="3"/>
      <c r="AE10" s="3"/>
      <c r="AF10" s="4"/>
      <c r="AG10" s="4"/>
      <c r="AH10" s="4"/>
      <c r="AI10" s="4"/>
      <c r="AJ10" s="4"/>
      <c r="AK10" s="4"/>
      <c r="AL10" s="16"/>
      <c r="AM10" s="10"/>
      <c r="AN10" s="11"/>
      <c r="AO10" s="4"/>
      <c r="AP10" s="4"/>
      <c r="AQ10" s="4"/>
      <c r="AR10" s="4"/>
      <c r="AS10" s="4"/>
      <c r="AT10" s="4"/>
      <c r="AU10" s="16"/>
      <c r="AV10" s="10"/>
      <c r="AW10" s="11"/>
      <c r="AX10" s="4"/>
      <c r="AY10" s="4"/>
      <c r="AZ10" s="4"/>
      <c r="BA10" s="4"/>
    </row>
    <row r="11" spans="1:53" ht="17.45" customHeight="1" thickBot="1" x14ac:dyDescent="0.2">
      <c r="A11" s="24"/>
      <c r="B11" s="28">
        <v>4</v>
      </c>
      <c r="C11" s="38" t="str">
        <f>VLOOKUP(D2,入力用シート!$A$2:$EO$2,17)</f>
        <v>波形　胡汰</v>
      </c>
      <c r="D11" s="39"/>
      <c r="E11" s="29" t="str">
        <f>VLOOKUP(D2,入力用シート!$A$2:$EO$2,19)</f>
        <v>6年</v>
      </c>
      <c r="F11" s="31" t="str">
        <f>VLOOKUP(D2,入力用シート!$A$2:$EO$2,20)</f>
        <v>137cm</v>
      </c>
      <c r="G11" s="35">
        <f>VLOOKUP(D2,入力用シート!$A$2:$EO$2,21)</f>
        <v>0</v>
      </c>
      <c r="H11" s="36"/>
      <c r="I11" s="37"/>
      <c r="J11" s="4"/>
      <c r="K11" s="21"/>
      <c r="L11" s="21"/>
      <c r="M11" s="20"/>
      <c r="N11" s="19"/>
      <c r="O11" s="21"/>
      <c r="P11" s="21"/>
      <c r="Q11" s="20"/>
      <c r="R11" s="21"/>
      <c r="S11" s="19"/>
      <c r="T11" s="21"/>
      <c r="U11" s="21"/>
      <c r="V11" s="20"/>
      <c r="W11" s="19"/>
      <c r="X11" s="21"/>
      <c r="Y11" s="21"/>
      <c r="Z11" s="20"/>
      <c r="AA11" s="2"/>
      <c r="AB11" s="3"/>
      <c r="AC11" s="3"/>
      <c r="AD11" s="1"/>
      <c r="AE11" s="2"/>
      <c r="AF11" s="4"/>
      <c r="AG11" s="4"/>
      <c r="AH11" s="4"/>
      <c r="AI11" s="4"/>
      <c r="AJ11" s="4"/>
      <c r="AK11" s="4"/>
      <c r="AL11" s="3"/>
      <c r="AM11" s="3"/>
      <c r="AN11" s="11"/>
      <c r="AO11" s="4"/>
      <c r="AP11" s="4"/>
      <c r="AQ11" s="4"/>
      <c r="AR11" s="4"/>
      <c r="AS11" s="4"/>
      <c r="AT11" s="4"/>
      <c r="AU11" s="3"/>
      <c r="AV11" s="3"/>
      <c r="AW11" s="11"/>
      <c r="AX11" s="4"/>
      <c r="AY11" s="4"/>
      <c r="AZ11" s="4"/>
      <c r="BA11" s="4"/>
    </row>
    <row r="12" spans="1:53" ht="17.45" customHeight="1" thickBot="1" x14ac:dyDescent="0.2">
      <c r="A12" s="24"/>
      <c r="B12" s="28">
        <v>5</v>
      </c>
      <c r="C12" s="38" t="str">
        <f>VLOOKUP(D2,入力用シート!$A$2:$EO$2,22)</f>
        <v>山田　朔太郎</v>
      </c>
      <c r="D12" s="39"/>
      <c r="E12" s="29" t="str">
        <f>VLOOKUP(D2,入力用シート!$A$2:$EO$2,24)</f>
        <v>6年</v>
      </c>
      <c r="F12" s="29" t="str">
        <f>VLOOKUP(D2,入力用シート!$A$2:$EO$2,25)</f>
        <v>145cm</v>
      </c>
      <c r="G12" s="35">
        <f>VLOOKUP(D2,入力用シート!$A$2:$EO$2,26)</f>
        <v>0</v>
      </c>
      <c r="H12" s="36"/>
      <c r="I12" s="37"/>
      <c r="J12" s="4"/>
      <c r="K12" s="6"/>
      <c r="L12" s="6"/>
      <c r="M12" s="9"/>
      <c r="N12" s="9"/>
      <c r="O12" s="4"/>
      <c r="P12" s="4"/>
      <c r="Q12" s="4"/>
      <c r="R12" s="4"/>
      <c r="S12" s="9"/>
      <c r="T12" s="6"/>
      <c r="U12" s="6"/>
      <c r="V12" s="9"/>
      <c r="W12" s="9"/>
      <c r="X12" s="4"/>
      <c r="Y12" s="4"/>
      <c r="Z12" s="4"/>
      <c r="AA12" s="2"/>
      <c r="AB12" s="3"/>
      <c r="AC12" s="3"/>
      <c r="AD12" s="1"/>
      <c r="AE12" s="2"/>
      <c r="AF12" s="4"/>
      <c r="AG12" s="4"/>
      <c r="AH12" s="4"/>
      <c r="AI12" s="4"/>
      <c r="AJ12" s="4"/>
      <c r="AK12" s="4"/>
      <c r="AL12" s="4"/>
      <c r="AM12" s="4"/>
      <c r="AN12" s="11"/>
      <c r="AO12" s="4"/>
      <c r="AP12" s="7"/>
      <c r="AQ12" s="8"/>
      <c r="AR12" s="4"/>
      <c r="AS12" s="4"/>
      <c r="AT12" s="4"/>
      <c r="AU12" s="4"/>
      <c r="AV12" s="4"/>
      <c r="AW12" s="11"/>
      <c r="AX12" s="4"/>
      <c r="AY12" s="7"/>
      <c r="AZ12" s="8"/>
      <c r="BA12" s="4"/>
    </row>
    <row r="13" spans="1:53" ht="17.45" customHeight="1" thickBot="1" x14ac:dyDescent="0.2">
      <c r="A13" s="24"/>
      <c r="B13" s="28">
        <v>6</v>
      </c>
      <c r="C13" s="38" t="str">
        <f>VLOOKUP(D2,入力用シート!$A$2:$EO$2,27)</f>
        <v>中村　利壱</v>
      </c>
      <c r="D13" s="39"/>
      <c r="E13" s="29" t="str">
        <f>VLOOKUP(D2,入力用シート!$A$2:$EO$2,29)</f>
        <v>6年</v>
      </c>
      <c r="F13" s="29" t="str">
        <f>VLOOKUP(D2,入力用シート!$A$2:$EO$2,30)</f>
        <v>153cm</v>
      </c>
      <c r="G13" s="35">
        <f>VLOOKUP(D2,入力用シート!$A$2:$EO$2,31)</f>
        <v>0</v>
      </c>
      <c r="H13" s="36"/>
      <c r="I13" s="37"/>
      <c r="J13" s="4"/>
      <c r="K13" s="9"/>
      <c r="L13" s="9"/>
      <c r="M13" s="9"/>
      <c r="N13" s="9"/>
      <c r="O13" s="9"/>
      <c r="P13" s="9"/>
      <c r="Q13" s="4"/>
      <c r="R13" s="4"/>
      <c r="S13" s="4"/>
      <c r="T13" s="9"/>
      <c r="U13" s="9"/>
      <c r="V13" s="9"/>
      <c r="W13" s="9"/>
      <c r="X13" s="9"/>
      <c r="Y13" s="9"/>
      <c r="Z13" s="4"/>
      <c r="AA13" s="9"/>
      <c r="AB13" s="9"/>
      <c r="AC13" s="9"/>
      <c r="AD13" s="9"/>
      <c r="AE13" s="9"/>
      <c r="AF13" s="9"/>
      <c r="AG13" s="9"/>
      <c r="AH13" s="4"/>
      <c r="AI13" s="4"/>
      <c r="AJ13" s="4"/>
      <c r="AK13" s="4"/>
      <c r="AL13" s="9"/>
      <c r="AM13" s="9"/>
      <c r="AN13" s="9"/>
      <c r="AO13" s="9"/>
      <c r="AP13" s="9"/>
      <c r="AQ13" s="9"/>
      <c r="AR13" s="4"/>
      <c r="AS13" s="4"/>
      <c r="AT13" s="4"/>
      <c r="AU13" s="9"/>
      <c r="AV13" s="9"/>
      <c r="AW13" s="9"/>
      <c r="AX13" s="9"/>
      <c r="AY13" s="9"/>
      <c r="AZ13" s="9"/>
      <c r="BA13" s="4"/>
    </row>
    <row r="14" spans="1:53" ht="17.45" customHeight="1" thickBot="1" x14ac:dyDescent="0.2">
      <c r="A14" s="24"/>
      <c r="B14" s="28">
        <v>7</v>
      </c>
      <c r="C14" s="38" t="str">
        <f>VLOOKUP(D2,入力用シート!$A$2:$EO$2,32)</f>
        <v>萩原　慧太</v>
      </c>
      <c r="D14" s="39"/>
      <c r="E14" s="29" t="str">
        <f>VLOOKUP(D2,入力用シート!$A$2:$EO$2,34)</f>
        <v>6年</v>
      </c>
      <c r="F14" s="29" t="str">
        <f>VLOOKUP(D2,入力用シート!$A$2:$EO$2,35)</f>
        <v>140cm</v>
      </c>
      <c r="G14" s="35">
        <f>VLOOKUP(D2,入力用シート!$A$2:$EO$2,36)</f>
        <v>0</v>
      </c>
      <c r="H14" s="36"/>
      <c r="I14" s="37"/>
      <c r="J14" s="4"/>
      <c r="K14" s="12"/>
      <c r="L14" s="12"/>
      <c r="M14" s="12"/>
      <c r="N14" s="12"/>
      <c r="O14" s="12"/>
      <c r="P14" s="12"/>
      <c r="Q14" s="4"/>
      <c r="R14" s="6"/>
      <c r="S14" s="6"/>
      <c r="T14" s="12"/>
      <c r="U14" s="12"/>
      <c r="V14" s="12"/>
      <c r="W14" s="12"/>
      <c r="X14" s="12"/>
      <c r="Y14" s="12"/>
      <c r="Z14" s="4"/>
      <c r="AA14" s="4"/>
      <c r="AB14" s="4"/>
      <c r="AC14" s="4"/>
      <c r="AD14" s="4"/>
      <c r="AE14" s="4"/>
      <c r="AF14" s="4"/>
      <c r="AG14" s="4"/>
      <c r="AH14" s="4"/>
      <c r="AI14" s="4"/>
      <c r="AJ14" s="6"/>
      <c r="AK14" s="6"/>
      <c r="AL14" s="12"/>
      <c r="AM14" s="12"/>
      <c r="AN14" s="12"/>
      <c r="AO14" s="12"/>
      <c r="AP14" s="12"/>
      <c r="AQ14" s="12"/>
      <c r="AR14" s="4"/>
      <c r="AS14" s="6"/>
      <c r="AT14" s="6"/>
      <c r="AU14" s="12"/>
      <c r="AV14" s="12"/>
      <c r="AW14" s="12"/>
      <c r="AX14" s="12"/>
      <c r="AY14" s="12"/>
      <c r="AZ14" s="12"/>
      <c r="BA14" s="4"/>
    </row>
    <row r="15" spans="1:53" ht="17.45" customHeight="1" thickBot="1" x14ac:dyDescent="0.2">
      <c r="A15" s="24"/>
      <c r="B15" s="28">
        <v>8</v>
      </c>
      <c r="C15" s="38" t="str">
        <f>VLOOKUP(D2,入力用シート!$A$2:$EO$2,37)</f>
        <v>諸橋　直紀</v>
      </c>
      <c r="D15" s="39"/>
      <c r="E15" s="29" t="str">
        <f>VLOOKUP(D2,入力用シート!$A$2:$EO$2,39)</f>
        <v>6年</v>
      </c>
      <c r="F15" s="29" t="str">
        <f>VLOOKUP(D2,入力用シート!$A$2:$EO$2,40)</f>
        <v>141cm</v>
      </c>
      <c r="G15" s="35">
        <f>VLOOKUP(D2,入力用シート!$A$2:$EO$2,41)</f>
        <v>0</v>
      </c>
      <c r="H15" s="36"/>
      <c r="I15" s="37"/>
      <c r="J15" s="4"/>
      <c r="K15" s="12"/>
      <c r="L15" s="12"/>
      <c r="M15" s="12"/>
      <c r="N15" s="12"/>
      <c r="O15" s="12"/>
      <c r="P15" s="12"/>
      <c r="Q15" s="4"/>
      <c r="R15" s="6"/>
      <c r="S15" s="6"/>
      <c r="T15" s="12"/>
      <c r="U15" s="12"/>
      <c r="V15" s="12"/>
      <c r="W15" s="12"/>
      <c r="X15" s="12"/>
      <c r="Y15" s="12"/>
      <c r="Z15" s="4"/>
      <c r="AA15" s="4"/>
      <c r="AB15" s="4"/>
      <c r="AC15" s="6"/>
      <c r="AD15" s="6"/>
      <c r="AE15" s="4"/>
      <c r="AF15" s="4"/>
      <c r="AG15" s="4"/>
      <c r="AH15" s="4"/>
      <c r="AI15" s="4"/>
      <c r="AJ15" s="6"/>
      <c r="AK15" s="6"/>
      <c r="AL15" s="12"/>
      <c r="AM15" s="12"/>
      <c r="AN15" s="12"/>
      <c r="AO15" s="12"/>
      <c r="AP15" s="12"/>
      <c r="AQ15" s="12"/>
      <c r="AR15" s="4"/>
      <c r="AS15" s="6"/>
      <c r="AT15" s="6"/>
      <c r="AU15" s="12"/>
      <c r="AV15" s="12"/>
      <c r="AW15" s="12"/>
      <c r="AX15" s="12"/>
      <c r="AY15" s="12"/>
      <c r="AZ15" s="12"/>
      <c r="BA15" s="4"/>
    </row>
    <row r="16" spans="1:53" ht="17.45" customHeight="1" thickBot="1" x14ac:dyDescent="0.2">
      <c r="A16" s="24"/>
      <c r="B16" s="28">
        <v>9</v>
      </c>
      <c r="C16" s="38" t="str">
        <f>VLOOKUP(D2,入力用シート!$A$2:$EO$2,42)</f>
        <v>佐藤　啓人</v>
      </c>
      <c r="D16" s="39"/>
      <c r="E16" s="29" t="str">
        <f>VLOOKUP(D2,入力用シート!$A$2:$EO$2,44)</f>
        <v>6年</v>
      </c>
      <c r="F16" s="29" t="str">
        <f>VLOOKUP(D2,入力用シート!$A$2:$EO$2,45)</f>
        <v>141cm</v>
      </c>
      <c r="G16" s="35">
        <f>VLOOKUP(D2,入力用シート!$A$2:$EO$2,46)</f>
        <v>0</v>
      </c>
      <c r="H16" s="36"/>
      <c r="I16" s="37"/>
      <c r="J16" s="4"/>
      <c r="K16" s="12"/>
      <c r="L16" s="12"/>
      <c r="M16" s="12"/>
      <c r="N16" s="12"/>
      <c r="O16" s="12"/>
      <c r="P16" s="12"/>
      <c r="Q16" s="4"/>
      <c r="R16" s="6"/>
      <c r="S16" s="6"/>
      <c r="T16" s="12"/>
      <c r="U16" s="12"/>
      <c r="V16" s="12"/>
      <c r="W16" s="12"/>
      <c r="X16" s="12"/>
      <c r="Y16" s="12"/>
      <c r="Z16" s="4"/>
      <c r="AA16" s="4"/>
      <c r="AB16" s="4"/>
      <c r="AC16" s="4"/>
      <c r="AD16" s="4"/>
      <c r="AE16" s="4"/>
      <c r="AF16" s="4"/>
      <c r="AG16" s="4"/>
      <c r="AH16" s="4"/>
      <c r="AI16" s="4"/>
      <c r="AJ16" s="6"/>
      <c r="AK16" s="6"/>
      <c r="AL16" s="12"/>
      <c r="AM16" s="12"/>
      <c r="AN16" s="12"/>
      <c r="AO16" s="12"/>
      <c r="AP16" s="12"/>
      <c r="AQ16" s="12"/>
      <c r="AR16" s="4"/>
      <c r="AS16" s="6"/>
      <c r="AT16" s="6"/>
      <c r="AU16" s="12"/>
      <c r="AV16" s="12"/>
      <c r="AW16" s="12"/>
      <c r="AX16" s="12"/>
      <c r="AY16" s="12"/>
      <c r="AZ16" s="12"/>
      <c r="BA16" s="4"/>
    </row>
    <row r="17" spans="1:53" ht="17.45" customHeight="1" thickBot="1" x14ac:dyDescent="0.2">
      <c r="A17" s="24"/>
      <c r="B17" s="28">
        <v>10</v>
      </c>
      <c r="C17" s="38" t="str">
        <f>VLOOKUP(D2,入力用シート!$A$2:$EO$2,47)</f>
        <v>佐藤　悠斗</v>
      </c>
      <c r="D17" s="39"/>
      <c r="E17" s="29" t="str">
        <f>VLOOKUP(D2,入力用シート!$A$2:$EO$2,49)</f>
        <v>6年</v>
      </c>
      <c r="F17" s="29" t="str">
        <f>VLOOKUP(D2,入力用シート!$A$2:$EO$2,50)</f>
        <v>143cm</v>
      </c>
      <c r="G17" s="35">
        <f>VLOOKUP(D2,入力用シート!$A$2:$EO$2,51)</f>
        <v>0</v>
      </c>
      <c r="H17" s="36"/>
      <c r="I17" s="37"/>
      <c r="J17" s="4"/>
      <c r="K17" s="12"/>
      <c r="L17" s="12"/>
      <c r="M17" s="12"/>
      <c r="N17" s="12"/>
      <c r="O17" s="12"/>
      <c r="P17" s="12"/>
      <c r="Q17" s="4"/>
      <c r="R17" s="6"/>
      <c r="S17" s="6"/>
      <c r="T17" s="12"/>
      <c r="U17" s="12"/>
      <c r="V17" s="12"/>
      <c r="W17" s="12"/>
      <c r="X17" s="12"/>
      <c r="Y17" s="12"/>
      <c r="Z17" s="4"/>
      <c r="AA17" s="4"/>
      <c r="AB17" s="9"/>
      <c r="AC17" s="9"/>
      <c r="AD17" s="9"/>
      <c r="AE17" s="9"/>
      <c r="AF17" s="9"/>
      <c r="AG17" s="9"/>
      <c r="AH17" s="9"/>
      <c r="AI17" s="9"/>
      <c r="AJ17" s="6"/>
      <c r="AK17" s="6"/>
      <c r="AL17" s="12"/>
      <c r="AM17" s="12"/>
      <c r="AN17" s="12"/>
      <c r="AO17" s="12"/>
      <c r="AP17" s="12"/>
      <c r="AQ17" s="12"/>
      <c r="AR17" s="4"/>
      <c r="AS17" s="6"/>
      <c r="AT17" s="6"/>
      <c r="AU17" s="12"/>
      <c r="AV17" s="12"/>
      <c r="AW17" s="12"/>
      <c r="AX17" s="12"/>
      <c r="AY17" s="12"/>
      <c r="AZ17" s="12"/>
      <c r="BA17" s="4"/>
    </row>
    <row r="18" spans="1:53" ht="17.45" customHeight="1" thickBot="1" x14ac:dyDescent="0.2">
      <c r="A18" s="24"/>
      <c r="B18" s="28">
        <v>11</v>
      </c>
      <c r="C18" s="38" t="str">
        <f>VLOOKUP(D2,入力用シート!$A$2:$EO$2,52)</f>
        <v>佐藤　大翔</v>
      </c>
      <c r="D18" s="39"/>
      <c r="E18" s="29" t="str">
        <f>VLOOKUP(D2,入力用シート!$A$2:$EO$2,54)</f>
        <v>6年</v>
      </c>
      <c r="F18" s="29" t="str">
        <f>VLOOKUP(D2,入力用シート!$A$2:$EO$2,55)</f>
        <v>143cm</v>
      </c>
      <c r="G18" s="35">
        <f>VLOOKUP(D2,入力用シート!$A$2:$EO$2,56)</f>
        <v>0</v>
      </c>
      <c r="H18" s="36"/>
      <c r="I18" s="37"/>
      <c r="J18" s="3"/>
      <c r="K18" s="12"/>
      <c r="L18" s="12"/>
      <c r="M18" s="12"/>
      <c r="N18" s="12"/>
      <c r="O18" s="12"/>
      <c r="P18" s="12"/>
      <c r="Q18" s="4"/>
      <c r="R18" s="6"/>
      <c r="S18" s="6"/>
      <c r="T18" s="12"/>
      <c r="U18" s="12"/>
      <c r="V18" s="12"/>
      <c r="W18" s="12"/>
      <c r="X18" s="12"/>
      <c r="Y18" s="12"/>
      <c r="Z18" s="4"/>
      <c r="AA18" s="14"/>
      <c r="AB18" s="12"/>
      <c r="AC18" s="12"/>
      <c r="AD18" s="12"/>
      <c r="AE18" s="12"/>
      <c r="AF18" s="12"/>
      <c r="AG18" s="12"/>
      <c r="AH18" s="12"/>
      <c r="AI18" s="12"/>
      <c r="AJ18" s="6"/>
      <c r="AK18" s="4"/>
      <c r="AL18" s="4"/>
      <c r="AM18" s="4"/>
      <c r="AN18" s="4"/>
      <c r="AO18" s="4"/>
      <c r="AP18" s="4"/>
      <c r="AQ18" s="4"/>
      <c r="AR18" s="4"/>
      <c r="AS18" s="6"/>
      <c r="AT18" s="4"/>
      <c r="AU18" s="4"/>
      <c r="AV18" s="4"/>
      <c r="AW18" s="4"/>
      <c r="AX18" s="4"/>
      <c r="AY18" s="4"/>
      <c r="AZ18" s="4"/>
      <c r="BA18" s="4"/>
    </row>
    <row r="19" spans="1:53" ht="17.45" customHeight="1" thickBot="1" x14ac:dyDescent="0.2">
      <c r="A19" s="24"/>
      <c r="B19" s="28">
        <v>12</v>
      </c>
      <c r="C19" s="38" t="str">
        <f>VLOOKUP(D2,入力用シート!$A$2:$EO$2,57)</f>
        <v>多田　康惺</v>
      </c>
      <c r="D19" s="39"/>
      <c r="E19" s="29" t="str">
        <f>VLOOKUP(D2,入力用シート!$A$2:$EO$2,59)</f>
        <v>5年</v>
      </c>
      <c r="F19" s="29" t="str">
        <f>VLOOKUP(D2,入力用シート!$A$2:$EO$2,60)</f>
        <v>140cm</v>
      </c>
      <c r="G19" s="35">
        <f>VLOOKUP(D2,入力用シート!$A$2:$EO$2,61)</f>
        <v>0</v>
      </c>
      <c r="H19" s="36"/>
      <c r="I19" s="37"/>
      <c r="J19" s="4"/>
      <c r="K19" s="4"/>
      <c r="L19" s="4"/>
      <c r="M19" s="4"/>
      <c r="N19" s="4"/>
      <c r="O19" s="4"/>
      <c r="P19" s="4"/>
      <c r="Q19" s="4"/>
      <c r="R19" s="4"/>
      <c r="S19" s="4"/>
      <c r="T19" s="4"/>
      <c r="U19" s="4"/>
      <c r="V19" s="4"/>
      <c r="W19" s="4"/>
      <c r="X19" s="4"/>
      <c r="Y19" s="4"/>
      <c r="Z19" s="4"/>
      <c r="AA19" s="14"/>
      <c r="AB19" s="12"/>
      <c r="AC19" s="12"/>
      <c r="AD19" s="12"/>
      <c r="AE19" s="12"/>
      <c r="AF19" s="12"/>
      <c r="AG19" s="12"/>
      <c r="AH19" s="12"/>
      <c r="AI19" s="12"/>
      <c r="AJ19" s="4"/>
      <c r="AK19" s="4"/>
      <c r="AL19" s="4"/>
      <c r="AM19" s="4"/>
      <c r="AN19" s="4"/>
      <c r="AO19" s="4"/>
      <c r="AP19" s="4"/>
      <c r="AQ19" s="4"/>
      <c r="AR19" s="4"/>
      <c r="AS19" s="4"/>
      <c r="AT19" s="4"/>
      <c r="AU19" s="4"/>
      <c r="AV19" s="4"/>
      <c r="AW19" s="4"/>
      <c r="AX19" s="4"/>
      <c r="AY19" s="4"/>
      <c r="AZ19" s="4"/>
      <c r="BA19" s="4"/>
    </row>
    <row r="20" spans="1:53" ht="17.45" customHeight="1" thickBot="1" x14ac:dyDescent="0.2">
      <c r="A20" s="24"/>
      <c r="B20" s="28">
        <v>13</v>
      </c>
      <c r="C20" s="38" t="str">
        <f>VLOOKUP(D2,入力用シート!$A$2:$EO$2,62)</f>
        <v>大﨑 滉太</v>
      </c>
      <c r="D20" s="39"/>
      <c r="E20" s="29" t="str">
        <f>VLOOKUP(D2,入力用シート!$A$2:$EO$2,64)</f>
        <v>5年</v>
      </c>
      <c r="F20" s="29" t="str">
        <f>VLOOKUP(D2,入力用シート!$A$2:$EO$2,65)</f>
        <v>140cm</v>
      </c>
      <c r="G20" s="35">
        <f>VLOOKUP(D2,入力用シート!$A$2:$EO$2,66)</f>
        <v>0</v>
      </c>
      <c r="H20" s="36"/>
      <c r="I20" s="37"/>
      <c r="K20" s="4"/>
      <c r="L20" s="4"/>
      <c r="M20" s="4"/>
      <c r="N20" s="4"/>
      <c r="O20" s="4"/>
      <c r="P20" s="4"/>
      <c r="Q20" s="4"/>
    </row>
    <row r="21" spans="1:53" ht="17.45" customHeight="1" thickBot="1" x14ac:dyDescent="0.2">
      <c r="A21" s="24"/>
      <c r="B21" s="28">
        <v>14</v>
      </c>
      <c r="C21" s="38" t="str">
        <f>VLOOKUP(D2,入力用シート!$A$2:$EO$2,67)</f>
        <v>大橋 琉生</v>
      </c>
      <c r="D21" s="39"/>
      <c r="E21" s="29" t="str">
        <f>VLOOKUP(D2,入力用シート!$A$2:$EO$2,69)</f>
        <v>5年</v>
      </c>
      <c r="F21" s="29" t="str">
        <f>VLOOKUP(D2,入力用シート!$A$2:$EO$2,70)</f>
        <v>140cm</v>
      </c>
      <c r="G21" s="35">
        <f>VLOOKUP(D2,入力用シート!$A$2:$EO$2,71)</f>
        <v>0</v>
      </c>
      <c r="H21" s="36"/>
      <c r="I21" s="37"/>
      <c r="K21" s="3"/>
      <c r="L21" s="3"/>
      <c r="M21" s="11"/>
      <c r="N21" s="4"/>
      <c r="O21" s="3"/>
      <c r="P21" s="3"/>
      <c r="Q21" s="11"/>
    </row>
    <row r="22" spans="1:53" ht="17.45" customHeight="1" thickBot="1" x14ac:dyDescent="0.2">
      <c r="A22" s="24"/>
      <c r="B22" s="28">
        <v>15</v>
      </c>
      <c r="C22" s="38" t="str">
        <f>VLOOKUP(D2,入力用シート!$A$2:$EO$2,72)</f>
        <v>韮澤 嘉唯</v>
      </c>
      <c r="D22" s="39"/>
      <c r="E22" s="29" t="str">
        <f>VLOOKUP(D2,入力用シート!$A$2:$EO$2,74)</f>
        <v>4年</v>
      </c>
      <c r="F22" s="29" t="str">
        <f>VLOOKUP(D2,入力用シート!$A$2:$EO$2,75)</f>
        <v>139cm</v>
      </c>
      <c r="G22" s="35">
        <f>VLOOKUP(D2,入力用シート!$A$2:$EO$2,76)</f>
        <v>0</v>
      </c>
      <c r="H22" s="36"/>
      <c r="I22" s="37"/>
      <c r="K22" s="15"/>
      <c r="L22" s="10"/>
      <c r="M22" s="11"/>
      <c r="N22" s="4"/>
      <c r="O22" s="15"/>
      <c r="P22" s="10"/>
      <c r="Q22" s="11"/>
    </row>
    <row r="23" spans="1:53" ht="17.45" customHeight="1" thickBot="1" x14ac:dyDescent="0.2">
      <c r="A23" s="24"/>
      <c r="B23" s="28">
        <v>16</v>
      </c>
      <c r="C23" s="38" t="str">
        <f>VLOOKUP(D2,入力用シート!$A$2:$EO$2,77)</f>
        <v>多田　隼兜</v>
      </c>
      <c r="D23" s="39"/>
      <c r="E23" s="29" t="str">
        <f>VLOOKUP(D2,入力用シート!$A$2:$EO$2,79)</f>
        <v>4年</v>
      </c>
      <c r="F23" s="29" t="str">
        <f>VLOOKUP(D2,入力用シート!$A$2:$EO$2,80)</f>
        <v>135cm</v>
      </c>
      <c r="G23" s="35">
        <f>VLOOKUP(D2,入力用シート!$A$2:$EO$2,81)</f>
        <v>0</v>
      </c>
      <c r="H23" s="36"/>
      <c r="I23" s="37"/>
      <c r="K23" s="15"/>
      <c r="L23" s="10"/>
      <c r="M23" s="11"/>
      <c r="N23" s="4"/>
      <c r="O23" s="15"/>
      <c r="P23" s="10"/>
      <c r="Q23" s="11"/>
    </row>
    <row r="24" spans="1:53" ht="17.45" customHeight="1" thickBot="1" x14ac:dyDescent="0.2">
      <c r="A24" s="24"/>
      <c r="B24" s="28">
        <v>17</v>
      </c>
      <c r="C24" s="38" t="str">
        <f>VLOOKUP(D2,入力用シート!$A$2:$EO$2,82)</f>
        <v>大港 一徹</v>
      </c>
      <c r="D24" s="39"/>
      <c r="E24" s="29" t="str">
        <f>VLOOKUP(D2,入力用シート!$A$2:$EO$2,84)</f>
        <v>4年</v>
      </c>
      <c r="F24" s="29" t="str">
        <f>VLOOKUP(D2,入力用シート!$A$2:$EO$2,85)</f>
        <v>140cm</v>
      </c>
      <c r="G24" s="35">
        <f>VLOOKUP(D2,入力用シート!$A$2:$EO$2,86)</f>
        <v>0</v>
      </c>
      <c r="H24" s="36"/>
      <c r="I24" s="37"/>
      <c r="K24" s="10"/>
      <c r="L24" s="10"/>
      <c r="M24" s="11"/>
      <c r="N24" s="7"/>
      <c r="O24" s="10"/>
      <c r="P24" s="10"/>
      <c r="Q24" s="11"/>
    </row>
    <row r="25" spans="1:53" ht="17.45" customHeight="1" thickBot="1" x14ac:dyDescent="0.2">
      <c r="A25" s="24"/>
      <c r="B25" s="28">
        <v>18</v>
      </c>
      <c r="C25" s="38" t="str">
        <f>VLOOKUP(D2,入力用シート!$A$2:$EO$2,87)</f>
        <v>佐藤　壮汰朗</v>
      </c>
      <c r="D25" s="39"/>
      <c r="E25" s="29" t="str">
        <f>VLOOKUP(D2,入力用シート!$A$2:$EO$2,89)</f>
        <v>4年</v>
      </c>
      <c r="F25" s="29" t="str">
        <f>VLOOKUP(D2,入力用シート!$A$2:$EO$2,90)</f>
        <v>144cm</v>
      </c>
      <c r="G25" s="35">
        <f>VLOOKUP(D2,入力用シート!$A$2:$EO$2,91)</f>
        <v>0</v>
      </c>
      <c r="H25" s="36"/>
      <c r="I25" s="37"/>
      <c r="K25" s="16"/>
      <c r="L25" s="10"/>
      <c r="M25" s="11"/>
      <c r="N25" s="4"/>
      <c r="O25" s="16"/>
      <c r="P25" s="10"/>
      <c r="Q25" s="11"/>
    </row>
    <row r="26" spans="1:53" ht="17.45" customHeight="1" x14ac:dyDescent="0.15">
      <c r="K26" s="9"/>
      <c r="L26" s="9"/>
      <c r="M26" s="9"/>
      <c r="N26" s="9"/>
      <c r="O26" s="9"/>
      <c r="P26" s="9"/>
      <c r="Q26" s="4"/>
    </row>
  </sheetData>
  <mergeCells count="50">
    <mergeCell ref="B2:C2"/>
    <mergeCell ref="C10:D10"/>
    <mergeCell ref="C11:D11"/>
    <mergeCell ref="G10:I10"/>
    <mergeCell ref="G11:I11"/>
    <mergeCell ref="D3:F3"/>
    <mergeCell ref="D4:F4"/>
    <mergeCell ref="D7:F7"/>
    <mergeCell ref="B9:C9"/>
    <mergeCell ref="D9:F9"/>
    <mergeCell ref="G4:I9"/>
    <mergeCell ref="E2:I2"/>
    <mergeCell ref="G15:I15"/>
    <mergeCell ref="C12:D12"/>
    <mergeCell ref="C13:D13"/>
    <mergeCell ref="G12:I12"/>
    <mergeCell ref="G13:I13"/>
    <mergeCell ref="C14:D14"/>
    <mergeCell ref="G24:I24"/>
    <mergeCell ref="C19:D19"/>
    <mergeCell ref="B5:C5"/>
    <mergeCell ref="B6:C6"/>
    <mergeCell ref="B7:C7"/>
    <mergeCell ref="B8:C8"/>
    <mergeCell ref="G23:I23"/>
    <mergeCell ref="C20:D20"/>
    <mergeCell ref="C21:D21"/>
    <mergeCell ref="C15:D15"/>
    <mergeCell ref="C22:D22"/>
    <mergeCell ref="C23:D23"/>
    <mergeCell ref="G18:I18"/>
    <mergeCell ref="G19:I19"/>
    <mergeCell ref="C16:D16"/>
    <mergeCell ref="G14:I14"/>
    <mergeCell ref="G25:I25"/>
    <mergeCell ref="C24:D24"/>
    <mergeCell ref="C25:D25"/>
    <mergeCell ref="G3:I3"/>
    <mergeCell ref="G22:I22"/>
    <mergeCell ref="B3:C3"/>
    <mergeCell ref="B4:C4"/>
    <mergeCell ref="D8:F8"/>
    <mergeCell ref="G20:I20"/>
    <mergeCell ref="G21:I21"/>
    <mergeCell ref="C17:D17"/>
    <mergeCell ref="G16:I16"/>
    <mergeCell ref="G17:I17"/>
    <mergeCell ref="C18:D18"/>
    <mergeCell ref="D5:F5"/>
    <mergeCell ref="D6:F6"/>
  </mergeCells>
  <phoneticPr fontId="1"/>
  <pageMargins left="0.59055118110236227" right="0.59055118110236227" top="0.39370078740157483" bottom="0.39370078740157483" header="0.31496062992125984" footer="0.27559055118110237"/>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（入力例）</vt:lpstr>
      <vt:lpstr>入力用シート</vt:lpstr>
      <vt:lpstr>メンバー表（入力用シートから反映）</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URATA</dc:creator>
  <cp:lastModifiedBy>山田　由貴</cp:lastModifiedBy>
  <cp:lastPrinted>2011-08-01T05:59:02Z</cp:lastPrinted>
  <dcterms:created xsi:type="dcterms:W3CDTF">1997-01-08T22:48:59Z</dcterms:created>
  <dcterms:modified xsi:type="dcterms:W3CDTF">2019-05-31T03:37:02Z</dcterms:modified>
</cp:coreProperties>
</file>